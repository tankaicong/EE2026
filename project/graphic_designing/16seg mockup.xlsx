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e1399232_u_nus_edu/Documents/EE2026/Project/"/>
    </mc:Choice>
  </mc:AlternateContent>
  <xr:revisionPtr revIDLastSave="4480" documentId="8_{914B413F-F06F-43D3-914C-6977C7585FD7}" xr6:coauthVersionLast="47" xr6:coauthVersionMax="47" xr10:uidLastSave="{66B2B786-D97F-48B5-924A-A5A36C735019}"/>
  <bookViews>
    <workbookView xWindow="-108" yWindow="-108" windowWidth="23256" windowHeight="12456" tabRatio="563" firstSheet="1" activeTab="2" xr2:uid="{B7EF993A-6B15-4492-A3E2-7F5D379E7FB0}"/>
  </bookViews>
  <sheets>
    <sheet name="Sheet1" sheetId="1" r:id="rId1"/>
    <sheet name="menu mockup" sheetId="2" r:id="rId2"/>
    <sheet name="modify this" sheetId="4" r:id="rId3"/>
    <sheet name="only read from thi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5" i="4" l="1"/>
  <c r="S104" i="4"/>
  <c r="S102" i="4"/>
  <c r="S99" i="4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J132" i="5"/>
  <c r="J133" i="5"/>
  <c r="J134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J5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100" i="5"/>
  <c r="G101" i="5"/>
  <c r="G103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C5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R91" i="4"/>
  <c r="R92" i="4" s="1"/>
  <c r="R93" i="4" s="1"/>
  <c r="R94" i="4" s="1"/>
  <c r="R95" i="4" s="1"/>
  <c r="R96" i="4" s="1"/>
  <c r="R97" i="4" s="1"/>
  <c r="R98" i="4" s="1"/>
  <c r="R99" i="4" s="1"/>
  <c r="R100" i="4" s="1"/>
  <c r="R101" i="4" s="1"/>
  <c r="R102" i="4" s="1"/>
  <c r="R103" i="4" s="1"/>
  <c r="R104" i="4" s="1"/>
  <c r="R105" i="4" s="1"/>
  <c r="R106" i="4" s="1"/>
  <c r="R107" i="4" s="1"/>
  <c r="R108" i="4" s="1"/>
  <c r="R109" i="4" s="1"/>
  <c r="R110" i="4" s="1"/>
  <c r="R111" i="4" s="1"/>
  <c r="R112" i="4" s="1"/>
  <c r="R113" i="4" s="1"/>
  <c r="R114" i="4" s="1"/>
  <c r="R115" i="4" s="1"/>
  <c r="R116" i="4" s="1"/>
  <c r="R117" i="4" s="1"/>
  <c r="R118" i="4" s="1"/>
  <c r="R119" i="4" s="1"/>
  <c r="R120" i="4" s="1"/>
  <c r="R121" i="4" s="1"/>
  <c r="R122" i="4" s="1"/>
  <c r="R123" i="4" s="1"/>
  <c r="R124" i="4" s="1"/>
  <c r="R125" i="4" s="1"/>
  <c r="R126" i="4" s="1"/>
  <c r="R127" i="4" s="1"/>
  <c r="R128" i="4" s="1"/>
  <c r="R129" i="4" s="1"/>
  <c r="R130" i="4" s="1"/>
  <c r="R131" i="4" s="1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108" i="4"/>
  <c r="T110" i="4"/>
  <c r="T113" i="4"/>
  <c r="T116" i="4"/>
  <c r="T117" i="4"/>
  <c r="T120" i="4"/>
  <c r="T123" i="4"/>
  <c r="T124" i="4"/>
  <c r="I86" i="4"/>
  <c r="L92" i="4"/>
  <c r="L93" i="4" s="1"/>
  <c r="L94" i="4" s="1"/>
  <c r="L95" i="4" s="1"/>
  <c r="L96" i="4" s="1"/>
  <c r="L97" i="4" s="1"/>
  <c r="L98" i="4" s="1"/>
  <c r="L99" i="4" s="1"/>
  <c r="L100" i="4" s="1"/>
  <c r="L101" i="4" s="1"/>
  <c r="L102" i="4" s="1"/>
  <c r="L103" i="4" s="1"/>
  <c r="L104" i="4" s="1"/>
  <c r="L105" i="4" s="1"/>
  <c r="L106" i="4" s="1"/>
  <c r="L107" i="4" s="1"/>
  <c r="L108" i="4" s="1"/>
  <c r="L109" i="4" s="1"/>
  <c r="L110" i="4" s="1"/>
  <c r="L111" i="4" s="1"/>
  <c r="L112" i="4" s="1"/>
  <c r="L113" i="4" s="1"/>
  <c r="L114" i="4" s="1"/>
  <c r="L115" i="4" s="1"/>
  <c r="L116" i="4" s="1"/>
  <c r="L117" i="4" s="1"/>
  <c r="L118" i="4" s="1"/>
  <c r="L119" i="4" s="1"/>
  <c r="L120" i="4" s="1"/>
  <c r="L121" i="4" s="1"/>
  <c r="L122" i="4" s="1"/>
  <c r="L123" i="4" s="1"/>
  <c r="L124" i="4" s="1"/>
  <c r="L125" i="4" s="1"/>
  <c r="L126" i="4" s="1"/>
  <c r="L127" i="4" s="1"/>
  <c r="L128" i="4" s="1"/>
  <c r="L129" i="4" s="1"/>
  <c r="L130" i="4" s="1"/>
  <c r="L131" i="4" s="1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Q88" i="4"/>
  <c r="Q89" i="4"/>
  <c r="Q90" i="4"/>
  <c r="P89" i="4"/>
  <c r="P90" i="4"/>
  <c r="O88" i="4"/>
  <c r="O89" i="4"/>
  <c r="O90" i="4"/>
  <c r="K88" i="4"/>
  <c r="K89" i="4"/>
  <c r="K90" i="4"/>
  <c r="K91" i="4"/>
  <c r="L88" i="4"/>
  <c r="L89" i="4" s="1"/>
  <c r="L90" i="4" s="1"/>
  <c r="L91" i="4" s="1"/>
  <c r="P88" i="4" l="1"/>
  <c r="P85" i="4"/>
  <c r="P86" i="4"/>
  <c r="P87" i="4"/>
  <c r="O87" i="4"/>
  <c r="K87" i="4"/>
  <c r="K85" i="4"/>
  <c r="K86" i="4"/>
  <c r="K78" i="4"/>
  <c r="K79" i="4"/>
  <c r="K80" i="4"/>
  <c r="K81" i="4"/>
  <c r="K82" i="4"/>
  <c r="K83" i="4"/>
  <c r="K84" i="4"/>
  <c r="K76" i="4"/>
  <c r="K77" i="4"/>
  <c r="D134" i="4"/>
  <c r="C137" i="4"/>
  <c r="C106" i="4" a="1"/>
  <c r="C111" i="4" a="1"/>
  <c r="C115" i="4" a="1"/>
  <c r="C108" i="4" a="1"/>
  <c r="C91" i="4" a="1"/>
  <c r="C114" i="4" a="1"/>
  <c r="C119" i="4" a="1"/>
  <c r="C144" i="4" a="1"/>
  <c r="C89" i="4" a="1"/>
  <c r="C92" i="4" a="1"/>
  <c r="C126" i="4" a="1"/>
  <c r="C93" i="4" a="1"/>
  <c r="C124" i="4" a="1"/>
  <c r="C94" i="4" a="1"/>
  <c r="C117" i="4" a="1"/>
  <c r="C107" i="4" a="1"/>
  <c r="C90" i="4" a="1"/>
  <c r="C112" i="4" a="1"/>
  <c r="C118" i="4" a="1"/>
  <c r="C113" i="4" a="1"/>
  <c r="C120" i="4" a="1"/>
  <c r="C129" i="4" a="1"/>
  <c r="C121" i="4" a="1"/>
  <c r="C128" i="4" a="1"/>
  <c r="C87" i="4" a="1"/>
  <c r="C130" i="4" a="1"/>
  <c r="C103" i="4" a="1"/>
  <c r="C100" i="4" a="1"/>
  <c r="C127" i="4" a="1"/>
  <c r="C123" i="4" a="1"/>
  <c r="C96" i="4" a="1"/>
  <c r="C122" i="4" a="1"/>
  <c r="C110" i="4" a="1"/>
  <c r="C88" i="4" a="1"/>
  <c r="C98" i="4" a="1"/>
  <c r="C116" i="4" a="1"/>
  <c r="C102" i="4" a="1"/>
  <c r="C109" i="4" a="1"/>
  <c r="C99" i="4" a="1"/>
  <c r="C104" i="4" a="1"/>
  <c r="C97" i="4" a="1"/>
  <c r="C105" i="4" a="1"/>
  <c r="C101" i="4" a="1"/>
  <c r="C131" i="4" a="1"/>
  <c r="C125" i="4" a="1"/>
  <c r="C95" i="4" a="1"/>
  <c r="C101" i="4" l="1"/>
  <c r="C97" i="4"/>
  <c r="C93" i="4"/>
  <c r="C104" i="4"/>
  <c r="C100" i="4"/>
  <c r="C96" i="4"/>
  <c r="C106" i="4"/>
  <c r="C95" i="4"/>
  <c r="C105" i="4"/>
  <c r="C103" i="4"/>
  <c r="C99" i="4"/>
  <c r="C102" i="4"/>
  <c r="C98" i="4"/>
  <c r="C94" i="4"/>
  <c r="Q87" i="4"/>
  <c r="C126" i="4"/>
  <c r="C126" i="5" s="1"/>
  <c r="C88" i="4"/>
  <c r="C129" i="4"/>
  <c r="C129" i="5" s="1"/>
  <c r="C89" i="4"/>
  <c r="C117" i="4"/>
  <c r="C130" i="4"/>
  <c r="C130" i="5" s="1"/>
  <c r="C121" i="4"/>
  <c r="C121" i="5" s="1"/>
  <c r="C114" i="4"/>
  <c r="C109" i="4"/>
  <c r="C122" i="4"/>
  <c r="C122" i="5" s="1"/>
  <c r="C118" i="4"/>
  <c r="C110" i="4"/>
  <c r="C92" i="4"/>
  <c r="C87" i="4"/>
  <c r="C113" i="4"/>
  <c r="C125" i="4"/>
  <c r="C125" i="5" s="1"/>
  <c r="C144" i="4"/>
  <c r="C90" i="4"/>
  <c r="C107" i="4"/>
  <c r="C111" i="4"/>
  <c r="C115" i="4"/>
  <c r="C119" i="4"/>
  <c r="C119" i="5" s="1"/>
  <c r="C123" i="4"/>
  <c r="C123" i="5" s="1"/>
  <c r="C127" i="4"/>
  <c r="C127" i="5" s="1"/>
  <c r="C131" i="4"/>
  <c r="C131" i="5" s="1"/>
  <c r="C91" i="4"/>
  <c r="C108" i="4"/>
  <c r="C112" i="4"/>
  <c r="C116" i="4"/>
  <c r="C120" i="4"/>
  <c r="C120" i="5" s="1"/>
  <c r="C124" i="4"/>
  <c r="C124" i="5" s="1"/>
  <c r="C128" i="4"/>
  <c r="C128" i="5" s="1"/>
  <c r="P81" i="4"/>
  <c r="P82" i="4"/>
  <c r="P83" i="4"/>
  <c r="P84" i="4"/>
  <c r="O81" i="4"/>
  <c r="O82" i="4"/>
  <c r="O83" i="4"/>
  <c r="O84" i="4"/>
  <c r="O85" i="4"/>
  <c r="Q85" i="4" s="1"/>
  <c r="P5" i="4"/>
  <c r="O5" i="4"/>
  <c r="K5" i="4"/>
  <c r="K3" i="4"/>
  <c r="K4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2" i="4"/>
  <c r="T2" i="4"/>
  <c r="G2" i="5" s="1"/>
  <c r="O3" i="4"/>
  <c r="P3" i="4"/>
  <c r="O4" i="4"/>
  <c r="P4" i="4"/>
  <c r="O6" i="4"/>
  <c r="P6" i="4"/>
  <c r="O7" i="4"/>
  <c r="P7" i="4"/>
  <c r="O8" i="4"/>
  <c r="P8" i="4"/>
  <c r="O9" i="4"/>
  <c r="P9" i="4"/>
  <c r="O10" i="4"/>
  <c r="P10" i="4"/>
  <c r="O11" i="4"/>
  <c r="P11" i="4"/>
  <c r="O12" i="4"/>
  <c r="P12" i="4"/>
  <c r="O13" i="4"/>
  <c r="P13" i="4"/>
  <c r="O14" i="4"/>
  <c r="P14" i="4"/>
  <c r="O15" i="4"/>
  <c r="P15" i="4"/>
  <c r="O16" i="4"/>
  <c r="P16" i="4"/>
  <c r="O17" i="4"/>
  <c r="P17" i="4"/>
  <c r="O18" i="4"/>
  <c r="P18" i="4"/>
  <c r="O19" i="4"/>
  <c r="P19" i="4"/>
  <c r="O20" i="4"/>
  <c r="P20" i="4"/>
  <c r="O21" i="4"/>
  <c r="P21" i="4"/>
  <c r="O22" i="4"/>
  <c r="P22" i="4"/>
  <c r="O23" i="4"/>
  <c r="P23" i="4"/>
  <c r="O24" i="4"/>
  <c r="P24" i="4"/>
  <c r="O25" i="4"/>
  <c r="P25" i="4"/>
  <c r="O26" i="4"/>
  <c r="P26" i="4"/>
  <c r="O27" i="4"/>
  <c r="P27" i="4"/>
  <c r="O28" i="4"/>
  <c r="P28" i="4"/>
  <c r="O29" i="4"/>
  <c r="P29" i="4"/>
  <c r="O30" i="4"/>
  <c r="P30" i="4"/>
  <c r="O31" i="4"/>
  <c r="P31" i="4"/>
  <c r="O32" i="4"/>
  <c r="P32" i="4"/>
  <c r="O33" i="4"/>
  <c r="P33" i="4"/>
  <c r="O34" i="4"/>
  <c r="P34" i="4"/>
  <c r="O35" i="4"/>
  <c r="P35" i="4"/>
  <c r="O36" i="4"/>
  <c r="P36" i="4"/>
  <c r="O37" i="4"/>
  <c r="P37" i="4"/>
  <c r="O38" i="4"/>
  <c r="P38" i="4"/>
  <c r="O39" i="4"/>
  <c r="P39" i="4"/>
  <c r="O40" i="4"/>
  <c r="P40" i="4"/>
  <c r="O41" i="4"/>
  <c r="P41" i="4"/>
  <c r="O42" i="4"/>
  <c r="P42" i="4"/>
  <c r="O43" i="4"/>
  <c r="P43" i="4"/>
  <c r="O44" i="4"/>
  <c r="P44" i="4"/>
  <c r="O45" i="4"/>
  <c r="P45" i="4"/>
  <c r="O46" i="4"/>
  <c r="P46" i="4"/>
  <c r="O47" i="4"/>
  <c r="P47" i="4"/>
  <c r="O48" i="4"/>
  <c r="P48" i="4"/>
  <c r="O49" i="4"/>
  <c r="P49" i="4"/>
  <c r="O50" i="4"/>
  <c r="P50" i="4"/>
  <c r="O51" i="4"/>
  <c r="P51" i="4"/>
  <c r="O52" i="4"/>
  <c r="P52" i="4"/>
  <c r="O53" i="4"/>
  <c r="P53" i="4"/>
  <c r="O54" i="4"/>
  <c r="P54" i="4"/>
  <c r="O55" i="4"/>
  <c r="P55" i="4"/>
  <c r="O56" i="4"/>
  <c r="P56" i="4"/>
  <c r="O57" i="4"/>
  <c r="P57" i="4"/>
  <c r="O58" i="4"/>
  <c r="P58" i="4"/>
  <c r="O59" i="4"/>
  <c r="P59" i="4"/>
  <c r="O60" i="4"/>
  <c r="P60" i="4"/>
  <c r="O61" i="4"/>
  <c r="P61" i="4"/>
  <c r="O62" i="4"/>
  <c r="P62" i="4"/>
  <c r="O63" i="4"/>
  <c r="P63" i="4"/>
  <c r="O64" i="4"/>
  <c r="P64" i="4"/>
  <c r="O65" i="4"/>
  <c r="P65" i="4"/>
  <c r="O66" i="4"/>
  <c r="P66" i="4"/>
  <c r="O67" i="4"/>
  <c r="P67" i="4"/>
  <c r="O68" i="4"/>
  <c r="P68" i="4"/>
  <c r="O69" i="4"/>
  <c r="P69" i="4"/>
  <c r="O70" i="4"/>
  <c r="P70" i="4"/>
  <c r="O71" i="4"/>
  <c r="P71" i="4"/>
  <c r="O72" i="4"/>
  <c r="P72" i="4"/>
  <c r="O73" i="4"/>
  <c r="P73" i="4"/>
  <c r="O74" i="4"/>
  <c r="P74" i="4"/>
  <c r="O75" i="4"/>
  <c r="P75" i="4"/>
  <c r="O76" i="4"/>
  <c r="P76" i="4"/>
  <c r="O77" i="4"/>
  <c r="P77" i="4"/>
  <c r="O78" i="4"/>
  <c r="P78" i="4"/>
  <c r="O79" i="4"/>
  <c r="P79" i="4"/>
  <c r="O80" i="4"/>
  <c r="P80" i="4"/>
  <c r="O86" i="4"/>
  <c r="Q86" i="4" s="1"/>
  <c r="P2" i="4"/>
  <c r="O2" i="4"/>
  <c r="D2" i="5"/>
  <c r="E2" i="5"/>
  <c r="F2" i="5"/>
  <c r="G1" i="5"/>
  <c r="E1" i="5"/>
  <c r="F1" i="5"/>
  <c r="D1" i="5"/>
  <c r="C1" i="5"/>
  <c r="B2" i="5"/>
  <c r="B1" i="5"/>
  <c r="A2" i="5"/>
  <c r="A1" i="5"/>
  <c r="C146" i="4" a="1"/>
  <c r="C83" i="4" a="1"/>
  <c r="C86" i="4" a="1"/>
  <c r="C165" i="4" a="1"/>
  <c r="C61" i="4" a="1"/>
  <c r="C150" i="4" a="1"/>
  <c r="C156" i="4" a="1"/>
  <c r="C52" i="4" a="1"/>
  <c r="C147" i="4" a="1"/>
  <c r="C84" i="4" a="1"/>
  <c r="C77" i="4" a="1"/>
  <c r="C58" i="4" a="1"/>
  <c r="C63" i="4" a="1"/>
  <c r="C171" i="4" a="1"/>
  <c r="C67" i="4" a="1"/>
  <c r="C46" i="4" a="1"/>
  <c r="C62" i="4" a="1"/>
  <c r="C50" i="4" a="1"/>
  <c r="C152" i="4" a="1"/>
  <c r="C69" i="4" a="1"/>
  <c r="C72" i="4" a="1"/>
  <c r="C78" i="4" a="1"/>
  <c r="C82" i="4" a="1"/>
  <c r="C159" i="4" a="1"/>
  <c r="C55" i="4" a="1"/>
  <c r="C79" i="4" a="1"/>
  <c r="C75" i="4" a="1"/>
  <c r="C73" i="4" a="1"/>
  <c r="C71" i="4" a="1"/>
  <c r="C155" i="4" a="1"/>
  <c r="C161" i="4" a="1"/>
  <c r="C149" i="4" a="1"/>
  <c r="C56" i="4" a="1"/>
  <c r="C59" i="4" a="1"/>
  <c r="C42" i="4" a="1"/>
  <c r="C65" i="4" a="1"/>
  <c r="C148" i="4" a="1"/>
  <c r="C80" i="4" a="1"/>
  <c r="C81" i="4" a="1"/>
  <c r="C158" i="4" a="1"/>
  <c r="C35" i="4" a="1"/>
  <c r="C51" i="4" a="1"/>
  <c r="C168" i="4" a="1"/>
  <c r="C49" i="4" a="1"/>
  <c r="C60" i="4" a="1"/>
  <c r="C153" i="4" a="1"/>
  <c r="C57" i="4" a="1"/>
  <c r="C74" i="4" a="1"/>
  <c r="C145" i="4" a="1"/>
  <c r="C151" i="4" a="1"/>
  <c r="C167" i="4" a="1"/>
  <c r="C164" i="4" a="1"/>
  <c r="C162" i="4" a="1"/>
  <c r="C66" i="4" a="1"/>
  <c r="C70" i="4" a="1"/>
  <c r="C170" i="4" a="1"/>
  <c r="C48" i="4" a="1"/>
  <c r="C85" i="4" a="1"/>
  <c r="C76" i="4" a="1"/>
  <c r="C47" i="4" a="1"/>
  <c r="C54" i="4" a="1"/>
  <c r="C68" i="4" a="1"/>
  <c r="C64" i="4" a="1"/>
  <c r="C34" i="4" a="1"/>
  <c r="C101" i="5" l="1"/>
  <c r="J101" i="5" s="1"/>
  <c r="C109" i="5"/>
  <c r="J109" i="5" s="1"/>
  <c r="C95" i="5"/>
  <c r="J95" i="5" s="1"/>
  <c r="C88" i="5"/>
  <c r="J88" i="5" s="1"/>
  <c r="C105" i="5"/>
  <c r="C114" i="5"/>
  <c r="J114" i="5" s="1"/>
  <c r="C106" i="5"/>
  <c r="J106" i="5" s="1"/>
  <c r="C96" i="5"/>
  <c r="J96" i="5" s="1"/>
  <c r="C87" i="5"/>
  <c r="J87" i="5" s="1"/>
  <c r="C98" i="5"/>
  <c r="J98" i="5" s="1"/>
  <c r="C100" i="5"/>
  <c r="J100" i="5" s="1"/>
  <c r="C90" i="5"/>
  <c r="J90" i="5" s="1"/>
  <c r="C94" i="5"/>
  <c r="J94" i="5" s="1"/>
  <c r="C116" i="5"/>
  <c r="J116" i="5" s="1"/>
  <c r="C115" i="5"/>
  <c r="J115" i="5" s="1"/>
  <c r="C92" i="5"/>
  <c r="J92" i="5" s="1"/>
  <c r="C117" i="5"/>
  <c r="J117" i="5" s="1"/>
  <c r="C102" i="5"/>
  <c r="C104" i="5"/>
  <c r="C113" i="5"/>
  <c r="J113" i="5" s="1"/>
  <c r="C112" i="5"/>
  <c r="J112" i="5" s="1"/>
  <c r="C111" i="5"/>
  <c r="J111" i="5" s="1"/>
  <c r="C110" i="5"/>
  <c r="J110" i="5" s="1"/>
  <c r="C89" i="5"/>
  <c r="J89" i="5" s="1"/>
  <c r="C99" i="5"/>
  <c r="C93" i="5"/>
  <c r="J93" i="5" s="1"/>
  <c r="C91" i="5"/>
  <c r="J91" i="5" s="1"/>
  <c r="C108" i="5"/>
  <c r="J108" i="5" s="1"/>
  <c r="C107" i="5"/>
  <c r="J107" i="5" s="1"/>
  <c r="C118" i="5"/>
  <c r="J118" i="5" s="1"/>
  <c r="C103" i="5"/>
  <c r="J103" i="5" s="1"/>
  <c r="C97" i="5"/>
  <c r="J97" i="5" s="1"/>
  <c r="J120" i="5"/>
  <c r="J130" i="5"/>
  <c r="J119" i="5"/>
  <c r="J122" i="5"/>
  <c r="J131" i="5"/>
  <c r="J126" i="5"/>
  <c r="J129" i="5"/>
  <c r="J128" i="5"/>
  <c r="J127" i="5"/>
  <c r="J125" i="5"/>
  <c r="J124" i="5"/>
  <c r="J123" i="5"/>
  <c r="J121" i="5"/>
  <c r="Q5" i="4"/>
  <c r="Q84" i="4"/>
  <c r="C155" i="4"/>
  <c r="Q83" i="4"/>
  <c r="Q79" i="4"/>
  <c r="Q73" i="4"/>
  <c r="Q69" i="4"/>
  <c r="Q65" i="4"/>
  <c r="Q61" i="4"/>
  <c r="Q57" i="4"/>
  <c r="Q53" i="4"/>
  <c r="Q49" i="4"/>
  <c r="Q45" i="4"/>
  <c r="Q41" i="4"/>
  <c r="Q33" i="4"/>
  <c r="Q29" i="4"/>
  <c r="Q25" i="4"/>
  <c r="Q21" i="4"/>
  <c r="Q17" i="4"/>
  <c r="Q82" i="4"/>
  <c r="Q81" i="4"/>
  <c r="C84" i="4"/>
  <c r="C83" i="4"/>
  <c r="C86" i="4"/>
  <c r="C82" i="4"/>
  <c r="C85" i="4"/>
  <c r="C81" i="4"/>
  <c r="C170" i="4"/>
  <c r="C171" i="4"/>
  <c r="C167" i="4"/>
  <c r="C168" i="4"/>
  <c r="C164" i="4"/>
  <c r="C165" i="4"/>
  <c r="C161" i="4"/>
  <c r="C162" i="4"/>
  <c r="C158" i="4"/>
  <c r="C159" i="4"/>
  <c r="C156" i="4"/>
  <c r="C152" i="4"/>
  <c r="C153" i="4"/>
  <c r="C151" i="4"/>
  <c r="C148" i="4"/>
  <c r="C150" i="4"/>
  <c r="C149" i="4"/>
  <c r="C147" i="4"/>
  <c r="C146" i="4"/>
  <c r="C145" i="4"/>
  <c r="Q13" i="4"/>
  <c r="Q9" i="4"/>
  <c r="Q37" i="4"/>
  <c r="Q4" i="4"/>
  <c r="Q68" i="4"/>
  <c r="Q48" i="4"/>
  <c r="Q12" i="4"/>
  <c r="Q72" i="4"/>
  <c r="Q40" i="4"/>
  <c r="Q28" i="4"/>
  <c r="Q78" i="4"/>
  <c r="Q56" i="4"/>
  <c r="Q52" i="4"/>
  <c r="Q36" i="4"/>
  <c r="Q20" i="4"/>
  <c r="Q8" i="4"/>
  <c r="Q60" i="4"/>
  <c r="Q24" i="4"/>
  <c r="Q64" i="4"/>
  <c r="Q44" i="4"/>
  <c r="Q32" i="4"/>
  <c r="Q16" i="4"/>
  <c r="Q3" i="4"/>
  <c r="Q80" i="4"/>
  <c r="Q76" i="4"/>
  <c r="Q74" i="4"/>
  <c r="Q70" i="4"/>
  <c r="Q66" i="4"/>
  <c r="Q62" i="4"/>
  <c r="Q58" i="4"/>
  <c r="Q54" i="4"/>
  <c r="Q50" i="4"/>
  <c r="Q46" i="4"/>
  <c r="Q42" i="4"/>
  <c r="Q38" i="4"/>
  <c r="Q34" i="4"/>
  <c r="Q30" i="4"/>
  <c r="Q26" i="4"/>
  <c r="Q22" i="4"/>
  <c r="Q18" i="4"/>
  <c r="Q14" i="4"/>
  <c r="Q10" i="4"/>
  <c r="Q6" i="4"/>
  <c r="Q77" i="4"/>
  <c r="Q75" i="4"/>
  <c r="Q71" i="4"/>
  <c r="Q67" i="4"/>
  <c r="Q63" i="4"/>
  <c r="Q59" i="4"/>
  <c r="Q55" i="4"/>
  <c r="Q51" i="4"/>
  <c r="Q47" i="4"/>
  <c r="Q43" i="4"/>
  <c r="Q39" i="4"/>
  <c r="Q35" i="4"/>
  <c r="Q31" i="4"/>
  <c r="Q27" i="4"/>
  <c r="Q23" i="4"/>
  <c r="Q19" i="4"/>
  <c r="Q15" i="4"/>
  <c r="Q11" i="4"/>
  <c r="Q7" i="4"/>
  <c r="Q2" i="4"/>
  <c r="R3" i="4" s="1"/>
  <c r="K2" i="5"/>
  <c r="C67" i="4"/>
  <c r="C35" i="4"/>
  <c r="C34" i="4"/>
  <c r="C74" i="4"/>
  <c r="C65" i="4"/>
  <c r="C73" i="4"/>
  <c r="C64" i="4"/>
  <c r="C72" i="4"/>
  <c r="C68" i="4"/>
  <c r="C66" i="4"/>
  <c r="C70" i="4"/>
  <c r="C69" i="4"/>
  <c r="C75" i="4"/>
  <c r="C71" i="4"/>
  <c r="C61" i="4"/>
  <c r="C76" i="4"/>
  <c r="C77" i="4"/>
  <c r="C80" i="4"/>
  <c r="C62" i="4"/>
  <c r="C79" i="4"/>
  <c r="C63" i="4"/>
  <c r="C78" i="4"/>
  <c r="C60" i="4"/>
  <c r="C58" i="4"/>
  <c r="C54" i="4"/>
  <c r="C57" i="4"/>
  <c r="C56" i="4"/>
  <c r="C55" i="4"/>
  <c r="C59" i="4"/>
  <c r="C46" i="4"/>
  <c r="C50" i="4"/>
  <c r="C49" i="4"/>
  <c r="C52" i="4"/>
  <c r="C48" i="4"/>
  <c r="C47" i="4"/>
  <c r="C51" i="4"/>
  <c r="C42" i="4"/>
  <c r="J2" i="4"/>
  <c r="I3" i="4" s="1"/>
  <c r="X71" i="2"/>
  <c r="S70" i="2"/>
  <c r="C28" i="4" a="1"/>
  <c r="C30" i="4" a="1"/>
  <c r="C18" i="4" a="1"/>
  <c r="C25" i="4" a="1"/>
  <c r="C142" i="4" a="1"/>
  <c r="C2" i="4" a="1"/>
  <c r="C24" i="4" a="1"/>
  <c r="C11" i="4" a="1"/>
  <c r="C27" i="4" a="1"/>
  <c r="C31" i="4" a="1"/>
  <c r="C53" i="4" a="1"/>
  <c r="C43" i="4" a="1"/>
  <c r="C38" i="4" a="1"/>
  <c r="C15" i="4" a="1"/>
  <c r="C10" i="4" a="1"/>
  <c r="C26" i="4" a="1"/>
  <c r="C36" i="4" a="1"/>
  <c r="C44" i="4" a="1"/>
  <c r="C20" i="4" a="1"/>
  <c r="C6" i="4" a="1"/>
  <c r="C13" i="4" a="1"/>
  <c r="C4" i="4" a="1"/>
  <c r="C41" i="4" a="1"/>
  <c r="C37" i="4" a="1"/>
  <c r="C14" i="4" a="1"/>
  <c r="C29" i="4" a="1"/>
  <c r="C22" i="4" a="1"/>
  <c r="C45" i="4" a="1"/>
  <c r="C7" i="4" a="1"/>
  <c r="C19" i="4" a="1"/>
  <c r="C16" i="4" a="1"/>
  <c r="C21" i="4" a="1"/>
  <c r="C9" i="4" a="1"/>
  <c r="C17" i="4" a="1"/>
  <c r="C23" i="4" a="1"/>
  <c r="C32" i="4" a="1"/>
  <c r="C40" i="4" a="1"/>
  <c r="C8" i="4" a="1"/>
  <c r="C143" i="4" a="1"/>
  <c r="C33" i="4" a="1"/>
  <c r="C12" i="4" a="1"/>
  <c r="C39" i="4" a="1"/>
  <c r="C3" i="4" a="1"/>
  <c r="C51" i="5" l="1"/>
  <c r="J51" i="5" s="1"/>
  <c r="C47" i="5"/>
  <c r="J47" i="5" s="1"/>
  <c r="C56" i="5"/>
  <c r="J56" i="5" s="1"/>
  <c r="C62" i="5"/>
  <c r="J62" i="5" s="1"/>
  <c r="C70" i="5"/>
  <c r="J70" i="5" s="1"/>
  <c r="C34" i="5"/>
  <c r="J34" i="5" s="1"/>
  <c r="C85" i="5"/>
  <c r="J85" i="5" s="1"/>
  <c r="C55" i="5"/>
  <c r="J55" i="5" s="1"/>
  <c r="C81" i="5"/>
  <c r="J81" i="5" s="1"/>
  <c r="C48" i="5"/>
  <c r="J48" i="5" s="1"/>
  <c r="C66" i="5"/>
  <c r="J66" i="5" s="1"/>
  <c r="C82" i="5"/>
  <c r="J82" i="5" s="1"/>
  <c r="C54" i="5"/>
  <c r="J54" i="5" s="1"/>
  <c r="C68" i="5"/>
  <c r="J68" i="5" s="1"/>
  <c r="C86" i="5"/>
  <c r="J86" i="5" s="1"/>
  <c r="C59" i="5"/>
  <c r="J59" i="5" s="1"/>
  <c r="C75" i="5"/>
  <c r="J75" i="5" s="1"/>
  <c r="C65" i="5"/>
  <c r="J65" i="5" s="1"/>
  <c r="C79" i="5"/>
  <c r="J79" i="5" s="1"/>
  <c r="C52" i="5"/>
  <c r="J52" i="5" s="1"/>
  <c r="C77" i="5"/>
  <c r="J77" i="5" s="1"/>
  <c r="C67" i="5"/>
  <c r="J67" i="5" s="1"/>
  <c r="C49" i="5"/>
  <c r="J49" i="5" s="1"/>
  <c r="C58" i="5"/>
  <c r="J58" i="5" s="1"/>
  <c r="C76" i="5"/>
  <c r="J76" i="5" s="1"/>
  <c r="C72" i="5"/>
  <c r="J72" i="5" s="1"/>
  <c r="C83" i="5"/>
  <c r="J83" i="5" s="1"/>
  <c r="C42" i="5"/>
  <c r="J42" i="5" s="1"/>
  <c r="C69" i="5"/>
  <c r="J69" i="5" s="1"/>
  <c r="C80" i="5"/>
  <c r="J80" i="5" s="1"/>
  <c r="C50" i="5"/>
  <c r="J50" i="5" s="1"/>
  <c r="C84" i="5"/>
  <c r="J84" i="5" s="1"/>
  <c r="C63" i="5"/>
  <c r="J63" i="5" s="1"/>
  <c r="C74" i="5"/>
  <c r="J74" i="5" s="1"/>
  <c r="C57" i="5"/>
  <c r="J57" i="5" s="1"/>
  <c r="C35" i="5"/>
  <c r="J35" i="5" s="1"/>
  <c r="C60" i="5"/>
  <c r="J60" i="5" s="1"/>
  <c r="C61" i="5"/>
  <c r="J61" i="5" s="1"/>
  <c r="C64" i="5"/>
  <c r="J64" i="5" s="1"/>
  <c r="C46" i="5"/>
  <c r="J46" i="5" s="1"/>
  <c r="C78" i="5"/>
  <c r="J78" i="5" s="1"/>
  <c r="C71" i="5"/>
  <c r="J71" i="5" s="1"/>
  <c r="C73" i="5"/>
  <c r="J73" i="5" s="1"/>
  <c r="T3" i="4"/>
  <c r="R4" i="4"/>
  <c r="R5" i="4" s="1"/>
  <c r="L3" i="4"/>
  <c r="L4" i="4" s="1"/>
  <c r="J3" i="4"/>
  <c r="I4" i="4" s="1"/>
  <c r="J4" i="4" s="1"/>
  <c r="I5" i="4" s="1"/>
  <c r="J5" i="4" s="1"/>
  <c r="I6" i="4" s="1"/>
  <c r="J6" i="4" s="1"/>
  <c r="C37" i="4"/>
  <c r="C36" i="4"/>
  <c r="C30" i="4"/>
  <c r="C29" i="4"/>
  <c r="C31" i="4"/>
  <c r="C33" i="4"/>
  <c r="C32" i="4"/>
  <c r="C28" i="4"/>
  <c r="C39" i="4"/>
  <c r="C43" i="4"/>
  <c r="C40" i="4"/>
  <c r="C44" i="4"/>
  <c r="C41" i="4"/>
  <c r="C45" i="4"/>
  <c r="C38" i="4"/>
  <c r="C53" i="4"/>
  <c r="C24" i="4"/>
  <c r="C142" i="4"/>
  <c r="C143" i="4"/>
  <c r="C27" i="4"/>
  <c r="C26" i="4"/>
  <c r="C11" i="4"/>
  <c r="C11" i="5" s="1"/>
  <c r="J11" i="5" s="1"/>
  <c r="C13" i="4"/>
  <c r="C13" i="5" s="1"/>
  <c r="J13" i="5" s="1"/>
  <c r="C12" i="4"/>
  <c r="C12" i="5" s="1"/>
  <c r="J12" i="5" s="1"/>
  <c r="C15" i="4"/>
  <c r="C15" i="5" s="1"/>
  <c r="J15" i="5" s="1"/>
  <c r="C14" i="4"/>
  <c r="C14" i="5" s="1"/>
  <c r="J14" i="5" s="1"/>
  <c r="C19" i="4"/>
  <c r="C18" i="4"/>
  <c r="C25" i="4"/>
  <c r="C16" i="4"/>
  <c r="C16" i="5" s="1"/>
  <c r="J16" i="5" s="1"/>
  <c r="C20" i="4"/>
  <c r="C6" i="4"/>
  <c r="C6" i="5" s="1"/>
  <c r="J6" i="5" s="1"/>
  <c r="C23" i="4"/>
  <c r="C9" i="4"/>
  <c r="C9" i="5" s="1"/>
  <c r="J9" i="5" s="1"/>
  <c r="C4" i="4"/>
  <c r="C4" i="5" s="1"/>
  <c r="J4" i="5" s="1"/>
  <c r="C21" i="4"/>
  <c r="C7" i="4"/>
  <c r="C7" i="5" s="1"/>
  <c r="J7" i="5" s="1"/>
  <c r="C10" i="4"/>
  <c r="C10" i="5" s="1"/>
  <c r="J10" i="5" s="1"/>
  <c r="C22" i="4"/>
  <c r="C17" i="4"/>
  <c r="C8" i="4"/>
  <c r="C8" i="5" s="1"/>
  <c r="J8" i="5" s="1"/>
  <c r="C3" i="4"/>
  <c r="C3" i="5" s="1"/>
  <c r="J3" i="5" s="1"/>
  <c r="C2" i="4"/>
  <c r="C2" i="5" s="1"/>
  <c r="J2" i="5" s="1"/>
  <c r="C23" i="5" l="1"/>
  <c r="J23" i="5" s="1"/>
  <c r="C28" i="5"/>
  <c r="J28" i="5" s="1"/>
  <c r="C32" i="5"/>
  <c r="J32" i="5" s="1"/>
  <c r="C45" i="5"/>
  <c r="J45" i="5" s="1"/>
  <c r="C33" i="5"/>
  <c r="J33" i="5" s="1"/>
  <c r="C44" i="5"/>
  <c r="J44" i="5" s="1"/>
  <c r="C24" i="5"/>
  <c r="J24" i="5" s="1"/>
  <c r="C39" i="5"/>
  <c r="J39" i="5" s="1"/>
  <c r="C37" i="5"/>
  <c r="J37" i="5" s="1"/>
  <c r="C17" i="5"/>
  <c r="J17" i="5" s="1"/>
  <c r="C53" i="5"/>
  <c r="J53" i="5" s="1"/>
  <c r="C22" i="5"/>
  <c r="J22" i="5" s="1"/>
  <c r="C20" i="5"/>
  <c r="J20" i="5" s="1"/>
  <c r="C38" i="5"/>
  <c r="J38" i="5" s="1"/>
  <c r="C25" i="5"/>
  <c r="J25" i="5" s="1"/>
  <c r="C26" i="5"/>
  <c r="J26" i="5" s="1"/>
  <c r="C41" i="5"/>
  <c r="J41" i="5" s="1"/>
  <c r="C31" i="5"/>
  <c r="J31" i="5" s="1"/>
  <c r="C21" i="5"/>
  <c r="J21" i="5" s="1"/>
  <c r="C18" i="5"/>
  <c r="J18" i="5" s="1"/>
  <c r="C29" i="5"/>
  <c r="J29" i="5" s="1"/>
  <c r="C19" i="5"/>
  <c r="J19" i="5" s="1"/>
  <c r="C40" i="5"/>
  <c r="J40" i="5" s="1"/>
  <c r="C30" i="5"/>
  <c r="J30" i="5" s="1"/>
  <c r="C43" i="5"/>
  <c r="J43" i="5" s="1"/>
  <c r="C36" i="5"/>
  <c r="J36" i="5" s="1"/>
  <c r="C27" i="5"/>
  <c r="J27" i="5" s="1"/>
  <c r="C140" i="4"/>
  <c r="D140" i="4" s="1"/>
  <c r="C141" i="4"/>
  <c r="D141" i="4" s="1"/>
  <c r="L5" i="4"/>
  <c r="L6" i="4" s="1"/>
  <c r="L7" i="4" s="1"/>
  <c r="L8" i="4" s="1"/>
  <c r="L9" i="4" s="1"/>
  <c r="L10" i="4" s="1"/>
  <c r="L11" i="4" s="1"/>
  <c r="L12" i="4" s="1"/>
  <c r="L13" i="4" s="1"/>
  <c r="L14" i="4" s="1"/>
  <c r="R6" i="4"/>
  <c r="T6" i="4" s="1"/>
  <c r="T5" i="4"/>
  <c r="T4" i="4"/>
  <c r="L15" i="4" l="1"/>
  <c r="L16" i="4" s="1"/>
  <c r="L17" i="4" s="1"/>
  <c r="L18" i="4" s="1"/>
  <c r="L19" i="4" s="1"/>
  <c r="L20" i="4" s="1"/>
  <c r="R7" i="4"/>
  <c r="I7" i="4"/>
  <c r="J7" i="4" s="1"/>
  <c r="R8" i="4" l="1"/>
  <c r="T7" i="4"/>
  <c r="L21" i="4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I8" i="4"/>
  <c r="J8" i="4" s="1"/>
  <c r="R9" i="4" l="1"/>
  <c r="T8" i="4"/>
  <c r="L41" i="4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L84" i="4" s="1"/>
  <c r="L85" i="4" s="1"/>
  <c r="L86" i="4" s="1"/>
  <c r="L87" i="4" s="1"/>
  <c r="I9" i="4"/>
  <c r="J9" i="4" s="1"/>
  <c r="R10" i="4" l="1"/>
  <c r="T9" i="4"/>
  <c r="I10" i="4"/>
  <c r="J10" i="4" s="1"/>
  <c r="S35" i="4" l="1"/>
  <c r="T35" i="4" s="1"/>
  <c r="S12" i="4"/>
  <c r="T12" i="4" s="1"/>
  <c r="S13" i="4"/>
  <c r="T13" i="4" s="1"/>
  <c r="S11" i="4"/>
  <c r="T11" i="4" s="1"/>
  <c r="R11" i="4"/>
  <c r="R12" i="4" s="1"/>
  <c r="R13" i="4" s="1"/>
  <c r="R14" i="4" s="1"/>
  <c r="R15" i="4" s="1"/>
  <c r="S14" i="4" s="1"/>
  <c r="T14" i="4" s="1"/>
  <c r="T10" i="4"/>
  <c r="I11" i="4"/>
  <c r="J11" i="4" s="1"/>
  <c r="R16" i="4" l="1"/>
  <c r="S34" i="4" s="1"/>
  <c r="T15" i="4"/>
  <c r="I12" i="4"/>
  <c r="J12" i="4" s="1"/>
  <c r="R17" i="4" l="1"/>
  <c r="T16" i="4"/>
  <c r="I13" i="4"/>
  <c r="J13" i="4" s="1"/>
  <c r="S18" i="4" l="1"/>
  <c r="T18" i="4" s="1"/>
  <c r="S19" i="4"/>
  <c r="T19" i="4" s="1"/>
  <c r="T34" i="4"/>
  <c r="R18" i="4"/>
  <c r="R19" i="4" s="1"/>
  <c r="R20" i="4" s="1"/>
  <c r="T17" i="4"/>
  <c r="I14" i="4"/>
  <c r="J14" i="4" s="1"/>
  <c r="R21" i="4" l="1"/>
  <c r="T20" i="4"/>
  <c r="I15" i="4"/>
  <c r="J15" i="4" s="1"/>
  <c r="R22" i="4" l="1"/>
  <c r="T21" i="4"/>
  <c r="I16" i="4"/>
  <c r="R23" i="4" l="1"/>
  <c r="T22" i="4"/>
  <c r="J16" i="4"/>
  <c r="I17" i="4" s="1"/>
  <c r="R24" i="4" l="1"/>
  <c r="T23" i="4"/>
  <c r="J17" i="4"/>
  <c r="I18" i="4" s="1"/>
  <c r="J18" i="4" s="1"/>
  <c r="I19" i="4" s="1"/>
  <c r="J19" i="4" s="1"/>
  <c r="I20" i="4" s="1"/>
  <c r="J20" i="4" s="1"/>
  <c r="R25" i="4" l="1"/>
  <c r="T24" i="4"/>
  <c r="I21" i="4"/>
  <c r="J21" i="4" s="1"/>
  <c r="R26" i="4" l="1"/>
  <c r="T25" i="4"/>
  <c r="I22" i="4"/>
  <c r="R27" i="4" l="1"/>
  <c r="T26" i="4"/>
  <c r="J22" i="4"/>
  <c r="I23" i="4" s="1"/>
  <c r="J23" i="4" s="1"/>
  <c r="I24" i="4" s="1"/>
  <c r="J24" i="4" s="1"/>
  <c r="R28" i="4" l="1"/>
  <c r="T27" i="4"/>
  <c r="I25" i="4"/>
  <c r="R29" i="4" l="1"/>
  <c r="T28" i="4"/>
  <c r="J25" i="4"/>
  <c r="I26" i="4" s="1"/>
  <c r="J26" i="4" s="1"/>
  <c r="I27" i="4" s="1"/>
  <c r="J27" i="4" s="1"/>
  <c r="R30" i="4" l="1"/>
  <c r="T29" i="4"/>
  <c r="I28" i="4"/>
  <c r="J28" i="4" s="1"/>
  <c r="R31" i="4" l="1"/>
  <c r="T30" i="4"/>
  <c r="I29" i="4"/>
  <c r="J29" i="4" s="1"/>
  <c r="R32" i="4" l="1"/>
  <c r="T31" i="4"/>
  <c r="I30" i="4"/>
  <c r="J30" i="4" s="1"/>
  <c r="R33" i="4" l="1"/>
  <c r="T32" i="4"/>
  <c r="I31" i="4"/>
  <c r="J31" i="4" s="1"/>
  <c r="R34" i="4" l="1"/>
  <c r="R35" i="4" s="1"/>
  <c r="R36" i="4" s="1"/>
  <c r="T33" i="4"/>
  <c r="I32" i="4"/>
  <c r="J32" i="4" s="1"/>
  <c r="R37" i="4" l="1"/>
  <c r="T36" i="4"/>
  <c r="I33" i="4"/>
  <c r="J33" i="4" s="1"/>
  <c r="R38" i="4" l="1"/>
  <c r="T37" i="4"/>
  <c r="I34" i="4"/>
  <c r="R39" i="4" l="1"/>
  <c r="S110" i="4" s="1"/>
  <c r="T38" i="4"/>
  <c r="J34" i="4"/>
  <c r="I35" i="4" s="1"/>
  <c r="J35" i="4" s="1"/>
  <c r="I36" i="4" s="1"/>
  <c r="J36" i="4" s="1"/>
  <c r="R40" i="4" l="1"/>
  <c r="T39" i="4"/>
  <c r="I37" i="4"/>
  <c r="J37" i="4" s="1"/>
  <c r="S55" i="4" l="1"/>
  <c r="S51" i="4"/>
  <c r="S41" i="4"/>
  <c r="S43" i="4"/>
  <c r="S42" i="4"/>
  <c r="S78" i="4"/>
  <c r="S72" i="4"/>
  <c r="R41" i="4"/>
  <c r="R42" i="4" s="1"/>
  <c r="R43" i="4" s="1"/>
  <c r="R44" i="4" s="1"/>
  <c r="T40" i="4"/>
  <c r="I38" i="4"/>
  <c r="J38" i="4" s="1"/>
  <c r="R45" i="4" l="1"/>
  <c r="T44" i="4"/>
  <c r="I39" i="4"/>
  <c r="J39" i="4" s="1"/>
  <c r="T55" i="4" l="1"/>
  <c r="T51" i="4"/>
  <c r="T43" i="4"/>
  <c r="T41" i="4"/>
  <c r="T42" i="4"/>
  <c r="R46" i="4"/>
  <c r="T45" i="4"/>
  <c r="I40" i="4"/>
  <c r="R47" i="4" l="1"/>
  <c r="T46" i="4"/>
  <c r="J40" i="4"/>
  <c r="I41" i="4" s="1"/>
  <c r="R48" i="4" l="1"/>
  <c r="S108" i="4" s="1"/>
  <c r="T47" i="4"/>
  <c r="J41" i="4"/>
  <c r="I42" i="4" s="1"/>
  <c r="R49" i="4" l="1"/>
  <c r="S61" i="4" s="1"/>
  <c r="T48" i="4"/>
  <c r="J42" i="4"/>
  <c r="I43" i="4" s="1"/>
  <c r="R50" i="4" l="1"/>
  <c r="T49" i="4"/>
  <c r="J43" i="4"/>
  <c r="I44" i="4" s="1"/>
  <c r="R51" i="4" l="1"/>
  <c r="R52" i="4" s="1"/>
  <c r="T50" i="4"/>
  <c r="J44" i="4"/>
  <c r="I45" i="4" s="1"/>
  <c r="R53" i="4" l="1"/>
  <c r="R54" i="4" s="1"/>
  <c r="R55" i="4" s="1"/>
  <c r="R56" i="4" s="1"/>
  <c r="S116" i="4" s="1"/>
  <c r="S113" i="4"/>
  <c r="T61" i="4"/>
  <c r="J45" i="4"/>
  <c r="I46" i="4" s="1"/>
  <c r="T54" i="4" l="1"/>
  <c r="R57" i="4"/>
  <c r="T56" i="4"/>
  <c r="T53" i="4"/>
  <c r="T52" i="4"/>
  <c r="J46" i="4"/>
  <c r="I47" i="4" s="1"/>
  <c r="R58" i="4" l="1"/>
  <c r="R59" i="4" s="1"/>
  <c r="S60" i="4" s="1"/>
  <c r="S117" i="4"/>
  <c r="T57" i="4"/>
  <c r="J47" i="4"/>
  <c r="I48" i="4" s="1"/>
  <c r="T59" i="4" l="1"/>
  <c r="R60" i="4"/>
  <c r="R61" i="4" s="1"/>
  <c r="R62" i="4" s="1"/>
  <c r="T62" i="4" s="1"/>
  <c r="T58" i="4"/>
  <c r="R63" i="4"/>
  <c r="S76" i="4" s="1"/>
  <c r="J48" i="4"/>
  <c r="I49" i="4" s="1"/>
  <c r="T60" i="4" l="1"/>
  <c r="R64" i="4"/>
  <c r="S66" i="4" s="1"/>
  <c r="T63" i="4"/>
  <c r="J49" i="4"/>
  <c r="I50" i="4" s="1"/>
  <c r="R65" i="4" l="1"/>
  <c r="T64" i="4"/>
  <c r="J50" i="4"/>
  <c r="I51" i="4" s="1"/>
  <c r="R66" i="4" l="1"/>
  <c r="R67" i="4" s="1"/>
  <c r="T65" i="4"/>
  <c r="J51" i="4"/>
  <c r="I52" i="4" s="1"/>
  <c r="T66" i="4" l="1"/>
  <c r="R68" i="4"/>
  <c r="T67" i="4"/>
  <c r="J52" i="4"/>
  <c r="I53" i="4" s="1"/>
  <c r="J53" i="4" s="1"/>
  <c r="I54" i="4" s="1"/>
  <c r="R69" i="4" l="1"/>
  <c r="S77" i="4" s="1"/>
  <c r="T68" i="4"/>
  <c r="J54" i="4"/>
  <c r="I55" i="4" s="1"/>
  <c r="R70" i="4" l="1"/>
  <c r="T69" i="4"/>
  <c r="J55" i="4"/>
  <c r="I56" i="4" s="1"/>
  <c r="R71" i="4" l="1"/>
  <c r="T70" i="4"/>
  <c r="J56" i="4"/>
  <c r="I57" i="4" s="1"/>
  <c r="R72" i="4" l="1"/>
  <c r="R73" i="4" s="1"/>
  <c r="S120" i="4" s="1"/>
  <c r="J57" i="4"/>
  <c r="I58" i="4" s="1"/>
  <c r="R74" i="4" l="1"/>
  <c r="J58" i="4"/>
  <c r="I59" i="4" s="1"/>
  <c r="J59" i="4" s="1"/>
  <c r="I60" i="4" s="1"/>
  <c r="J60" i="4" s="1"/>
  <c r="I61" i="4" s="1"/>
  <c r="J61" i="4" s="1"/>
  <c r="I62" i="4" s="1"/>
  <c r="J62" i="4" s="1"/>
  <c r="I63" i="4" s="1"/>
  <c r="R75" i="4" l="1"/>
  <c r="J63" i="4"/>
  <c r="I64" i="4" s="1"/>
  <c r="J64" i="4" s="1"/>
  <c r="I65" i="4" s="1"/>
  <c r="J65" i="4" s="1"/>
  <c r="I66" i="4" s="1"/>
  <c r="J66" i="4" s="1"/>
  <c r="I67" i="4" s="1"/>
  <c r="J67" i="4" s="1"/>
  <c r="I68" i="4" s="1"/>
  <c r="R76" i="4" l="1"/>
  <c r="J68" i="4"/>
  <c r="I69" i="4" s="1"/>
  <c r="R77" i="4" l="1"/>
  <c r="R78" i="4" s="1"/>
  <c r="R79" i="4" s="1"/>
  <c r="S123" i="4"/>
  <c r="J69" i="4"/>
  <c r="I70" i="4" s="1"/>
  <c r="J70" i="4" s="1"/>
  <c r="I71" i="4" s="1"/>
  <c r="J71" i="4" s="1"/>
  <c r="I72" i="4" s="1"/>
  <c r="J72" i="4" s="1"/>
  <c r="I73" i="4" s="1"/>
  <c r="J73" i="4" s="1"/>
  <c r="I74" i="4" s="1"/>
  <c r="J74" i="4" s="1"/>
  <c r="I75" i="4" s="1"/>
  <c r="J75" i="4" s="1"/>
  <c r="I76" i="4" s="1"/>
  <c r="J76" i="4" s="1"/>
  <c r="I77" i="4" s="1"/>
  <c r="J77" i="4" s="1"/>
  <c r="I78" i="4" s="1"/>
  <c r="J78" i="4" s="1"/>
  <c r="I79" i="4" s="1"/>
  <c r="J79" i="4" s="1"/>
  <c r="I80" i="4" s="1"/>
  <c r="J80" i="4" s="1"/>
  <c r="I81" i="4" s="1"/>
  <c r="J81" i="4" s="1"/>
  <c r="I82" i="4" s="1"/>
  <c r="J82" i="4" s="1"/>
  <c r="I83" i="4" s="1"/>
  <c r="J83" i="4" s="1"/>
  <c r="I84" i="4" s="1"/>
  <c r="J84" i="4" s="1"/>
  <c r="I85" i="4" s="1"/>
  <c r="J85" i="4" s="1"/>
  <c r="J86" i="4" s="1"/>
  <c r="J87" i="4" l="1"/>
  <c r="I88" i="4" s="1"/>
  <c r="J88" i="4" s="1"/>
  <c r="I89" i="4" s="1"/>
  <c r="J89" i="4" s="1"/>
  <c r="I90" i="4" s="1"/>
  <c r="I87" i="4"/>
  <c r="R80" i="4"/>
  <c r="J90" i="4" l="1"/>
  <c r="I91" i="4" s="1"/>
  <c r="S124" i="4"/>
  <c r="R81" i="4"/>
  <c r="J91" i="4" l="1"/>
  <c r="I92" i="4" s="1"/>
  <c r="J92" i="4" s="1"/>
  <c r="I93" i="4" s="1"/>
  <c r="R82" i="4"/>
  <c r="R83" i="4" l="1"/>
  <c r="R84" i="4" l="1"/>
  <c r="J93" i="4" l="1"/>
  <c r="I94" i="4" s="1"/>
  <c r="R85" i="4"/>
  <c r="R86" i="4" l="1"/>
  <c r="J94" i="4" l="1"/>
  <c r="I95" i="4" s="1"/>
  <c r="R87" i="4"/>
  <c r="J95" i="4" l="1"/>
  <c r="I96" i="4" s="1"/>
  <c r="R88" i="4"/>
  <c r="J96" i="4" l="1"/>
  <c r="R89" i="4"/>
  <c r="I97" i="4" l="1"/>
  <c r="J97" i="4" s="1"/>
  <c r="R90" i="4"/>
  <c r="I98" i="4" l="1"/>
  <c r="J98" i="4" s="1"/>
  <c r="I99" i="4" l="1"/>
  <c r="J99" i="4" s="1"/>
  <c r="T92" i="4" l="1"/>
  <c r="I100" i="4"/>
  <c r="J100" i="4" s="1"/>
  <c r="I101" i="4" s="1"/>
  <c r="J101" i="4" s="1"/>
  <c r="I102" i="4" s="1"/>
  <c r="J102" i="4" s="1"/>
  <c r="I103" i="4" s="1"/>
  <c r="J103" i="4" s="1"/>
  <c r="I104" i="4" s="1"/>
  <c r="J104" i="4" s="1"/>
  <c r="I105" i="4" s="1"/>
  <c r="T106" i="4"/>
  <c r="T93" i="4" l="1"/>
  <c r="J105" i="4"/>
  <c r="I106" i="4" s="1"/>
  <c r="T107" i="4"/>
  <c r="T94" i="4" l="1"/>
  <c r="J106" i="4"/>
  <c r="I107" i="4" s="1"/>
  <c r="T109" i="4"/>
  <c r="T95" i="4" l="1"/>
  <c r="T111" i="4"/>
  <c r="T96" i="4" l="1"/>
  <c r="T112" i="4"/>
  <c r="T97" i="4" l="1"/>
  <c r="J107" i="4"/>
  <c r="I108" i="4" s="1"/>
  <c r="T114" i="4"/>
  <c r="T98" i="4" l="1"/>
  <c r="T115" i="4"/>
  <c r="T99" i="4" l="1"/>
  <c r="G99" i="5" s="1"/>
  <c r="J99" i="5" s="1"/>
  <c r="J108" i="4"/>
  <c r="I109" i="4" s="1"/>
  <c r="T118" i="4"/>
  <c r="T100" i="4" l="1"/>
  <c r="J109" i="4"/>
  <c r="I110" i="4" s="1"/>
  <c r="T119" i="4"/>
  <c r="T101" i="4" l="1"/>
  <c r="J110" i="4"/>
  <c r="T121" i="4"/>
  <c r="T102" i="4" l="1"/>
  <c r="G102" i="5" s="1"/>
  <c r="J102" i="5" s="1"/>
  <c r="I111" i="4"/>
  <c r="J111" i="4" s="1"/>
  <c r="T122" i="4"/>
  <c r="T103" i="4" l="1"/>
  <c r="I112" i="4"/>
  <c r="J112" i="4" s="1"/>
  <c r="T125" i="4"/>
  <c r="T104" i="4" l="1"/>
  <c r="G104" i="5" s="1"/>
  <c r="J104" i="5" s="1"/>
  <c r="T105" i="4"/>
  <c r="G105" i="5" s="1"/>
  <c r="J105" i="5" s="1"/>
  <c r="I113" i="4"/>
  <c r="J113" i="4" s="1"/>
  <c r="T126" i="4"/>
  <c r="I114" i="4" l="1"/>
  <c r="J114" i="4" s="1"/>
  <c r="I115" i="4" s="1"/>
  <c r="J115" i="4" s="1"/>
  <c r="I116" i="4" s="1"/>
  <c r="J116" i="4" s="1"/>
  <c r="I117" i="4" s="1"/>
  <c r="J117" i="4" s="1"/>
  <c r="I118" i="4" s="1"/>
  <c r="J118" i="4" s="1"/>
  <c r="I119" i="4" s="1"/>
  <c r="T127" i="4"/>
  <c r="J119" i="4" l="1"/>
  <c r="I120" i="4" s="1"/>
  <c r="T129" i="4"/>
  <c r="S128" i="4"/>
  <c r="T128" i="4" l="1"/>
  <c r="J120" i="4"/>
  <c r="I121" i="4" s="1"/>
  <c r="S130" i="4"/>
  <c r="T130" i="4" l="1"/>
  <c r="T131" i="4"/>
  <c r="J121" i="4"/>
  <c r="I122" i="4" s="1"/>
  <c r="J122" i="4" l="1"/>
  <c r="I123" i="4" s="1"/>
  <c r="J123" i="4" l="1"/>
  <c r="I124" i="4" s="1"/>
  <c r="J124" i="4" l="1"/>
  <c r="I125" i="4" s="1"/>
  <c r="J125" i="4" l="1"/>
  <c r="I126" i="4" s="1"/>
  <c r="J126" i="4" l="1"/>
  <c r="I127" i="4" s="1"/>
  <c r="J127" i="4" l="1"/>
  <c r="I128" i="4" s="1"/>
  <c r="J128" i="4" l="1"/>
  <c r="I129" i="4" s="1"/>
  <c r="J129" i="4" l="1"/>
  <c r="I130" i="4" s="1"/>
  <c r="J130" i="4" l="1"/>
  <c r="I131" i="4" s="1"/>
  <c r="J131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<sst xmlns="http://schemas.openxmlformats.org/spreadsheetml/2006/main" count="386" uniqueCount="324">
  <si>
    <t>2 2 2 2 2 2 2 2 2 2 2 2</t>
  </si>
  <si>
    <t>2 1 1 1 1 1 1 1 1 2 2 2</t>
  </si>
  <si>
    <t>x</t>
  </si>
  <si>
    <t>gauss</t>
  </si>
  <si>
    <t>median</t>
  </si>
  <si>
    <t>erode 1</t>
  </si>
  <si>
    <t>erode 2</t>
  </si>
  <si>
    <t>dilate 1</t>
  </si>
  <si>
    <t>dilate 2</t>
  </si>
  <si>
    <t>y</t>
  </si>
  <si>
    <t>x in 10bit bin</t>
  </si>
  <si>
    <t>0101000000</t>
  </si>
  <si>
    <t>0110001010</t>
  </si>
  <si>
    <t>0111010100</t>
  </si>
  <si>
    <t>0111111110</t>
  </si>
  <si>
    <t>1000101000</t>
  </si>
  <si>
    <t>1001010010</t>
  </si>
  <si>
    <t>y in 9bit bin</t>
  </si>
  <si>
    <t>Name</t>
  </si>
  <si>
    <t>red square</t>
  </si>
  <si>
    <t>threshold</t>
  </si>
  <si>
    <t>raw feed</t>
  </si>
  <si>
    <t>camera</t>
  </si>
  <si>
    <t>preprocessing</t>
  </si>
  <si>
    <t>thresholding</t>
  </si>
  <si>
    <t>bitmap</t>
  </si>
  <si>
    <t>morphology</t>
  </si>
  <si>
    <t>ufds</t>
  </si>
  <si>
    <t>image processing</t>
  </si>
  <si>
    <t>gaussian</t>
  </si>
  <si>
    <t>X</t>
  </si>
  <si>
    <t>Y</t>
  </si>
  <si>
    <t>xsize</t>
  </si>
  <si>
    <t>ysize</t>
  </si>
  <si>
    <t>bram offset</t>
  </si>
  <si>
    <t>total</t>
  </si>
  <si>
    <t>DX</t>
  </si>
  <si>
    <t>X translated</t>
  </si>
  <si>
    <t>rowStart</t>
  </si>
  <si>
    <t>rowEnd</t>
  </si>
  <si>
    <t>AG</t>
  </si>
  <si>
    <t>AM</t>
  </si>
  <si>
    <t>DT</t>
  </si>
  <si>
    <t>JB</t>
  </si>
  <si>
    <t>yellow arrow</t>
  </si>
  <si>
    <t>CB</t>
  </si>
  <si>
    <t>CG</t>
  </si>
  <si>
    <t>eye1</t>
  </si>
  <si>
    <t>eye2</t>
  </si>
  <si>
    <t>eye3</t>
  </si>
  <si>
    <t>IX</t>
  </si>
  <si>
    <t>MQ</t>
  </si>
  <si>
    <t>TX</t>
  </si>
  <si>
    <t>DB</t>
  </si>
  <si>
    <t>yellow rect short</t>
  </si>
  <si>
    <t>yellow rect long</t>
  </si>
  <si>
    <t>NL</t>
  </si>
  <si>
    <t>yellow arrow 2</t>
  </si>
  <si>
    <t>yellow arrow 3</t>
  </si>
  <si>
    <t>yellow arrow 4</t>
  </si>
  <si>
    <t>IS</t>
  </si>
  <si>
    <t>ML</t>
  </si>
  <si>
    <t>TS</t>
  </si>
  <si>
    <t>OT</t>
  </si>
  <si>
    <t>obj detection</t>
  </si>
  <si>
    <t>UL</t>
  </si>
  <si>
    <t>LH</t>
  </si>
  <si>
    <t>?? Anything new</t>
  </si>
  <si>
    <t>gaussian edu tab</t>
  </si>
  <si>
    <t>open eye</t>
  </si>
  <si>
    <t>idx</t>
  </si>
  <si>
    <t>AN</t>
  </si>
  <si>
    <t>JV</t>
  </si>
  <si>
    <t>VF</t>
  </si>
  <si>
    <t>OL</t>
  </si>
  <si>
    <t>Sample neighbour</t>
  </si>
  <si>
    <t>BQ</t>
  </si>
  <si>
    <t>Findroots</t>
  </si>
  <si>
    <t>CV</t>
  </si>
  <si>
    <t>small arrow</t>
  </si>
  <si>
    <t>CC</t>
  </si>
  <si>
    <t>small arrow 1</t>
  </si>
  <si>
    <t>Object</t>
  </si>
  <si>
    <t>Det Union Find</t>
  </si>
  <si>
    <t>Disjoint</t>
  </si>
  <si>
    <t>Set</t>
  </si>
  <si>
    <t>CI</t>
  </si>
  <si>
    <t>Post</t>
  </si>
  <si>
    <t>Feed</t>
  </si>
  <si>
    <t>Ready</t>
  </si>
  <si>
    <t>BY</t>
  </si>
  <si>
    <t>DA</t>
  </si>
  <si>
    <t>small arrow 2</t>
  </si>
  <si>
    <t>EI</t>
  </si>
  <si>
    <t>small arrow 3</t>
  </si>
  <si>
    <t>small arrow 4</t>
  </si>
  <si>
    <t>FH</t>
  </si>
  <si>
    <t>L(eft)</t>
  </si>
  <si>
    <t>CQ</t>
  </si>
  <si>
    <t>U(p) L(eft)</t>
  </si>
  <si>
    <t>DP</t>
  </si>
  <si>
    <t>U(p)</t>
  </si>
  <si>
    <t>EW</t>
  </si>
  <si>
    <t>U(p) R(ight)</t>
  </si>
  <si>
    <t>FV</t>
  </si>
  <si>
    <t>FR grid</t>
  </si>
  <si>
    <t>CX</t>
  </si>
  <si>
    <t>GS</t>
  </si>
  <si>
    <t>HF</t>
  </si>
  <si>
    <t>Union</t>
  </si>
  <si>
    <t>IO</t>
  </si>
  <si>
    <t>median edu tab???</t>
  </si>
  <si>
    <t>Components</t>
  </si>
  <si>
    <t>HP</t>
  </si>
  <si>
    <t>UC grid</t>
  </si>
  <si>
    <t>IJ</t>
  </si>
  <si>
    <t>small arrow 5</t>
  </si>
  <si>
    <t>LE</t>
  </si>
  <si>
    <t>Update</t>
  </si>
  <si>
    <t>Stats</t>
  </si>
  <si>
    <t>US grid</t>
  </si>
  <si>
    <t>open eye 4</t>
  </si>
  <si>
    <t>AJ</t>
  </si>
  <si>
    <t>yellow arrow 5</t>
  </si>
  <si>
    <t>AF</t>
  </si>
  <si>
    <t>BJ</t>
  </si>
  <si>
    <t>Up→right</t>
  </si>
  <si>
    <t>right→down</t>
  </si>
  <si>
    <t>down→right</t>
  </si>
  <si>
    <t>GU</t>
  </si>
  <si>
    <t>LT</t>
  </si>
  <si>
    <t>MA</t>
  </si>
  <si>
    <t>LV</t>
  </si>
  <si>
    <t>down arrow 1</t>
  </si>
  <si>
    <t>MY</t>
  </si>
  <si>
    <t>down arrow 2</t>
  </si>
  <si>
    <t>LY</t>
  </si>
  <si>
    <t>right→down 2</t>
  </si>
  <si>
    <t>LZ</t>
  </si>
  <si>
    <t>Advance</t>
  </si>
  <si>
    <t>LF</t>
  </si>
  <si>
    <t>Frame end =</t>
  </si>
  <si>
    <t>GM</t>
  </si>
  <si>
    <t>0 (zero)</t>
  </si>
  <si>
    <t>bit =</t>
  </si>
  <si>
    <t>0 (zero) 2</t>
  </si>
  <si>
    <t>BV</t>
  </si>
  <si>
    <t>up arrow</t>
  </si>
  <si>
    <t>1 (one)</t>
  </si>
  <si>
    <t>right→up</t>
  </si>
  <si>
    <t>OJ</t>
  </si>
  <si>
    <t>up→right</t>
  </si>
  <si>
    <t>small arrow 6</t>
  </si>
  <si>
    <t>small arrow 7</t>
  </si>
  <si>
    <t>ON</t>
  </si>
  <si>
    <t>Filter</t>
  </si>
  <si>
    <t>and</t>
  </si>
  <si>
    <t>Refine</t>
  </si>
  <si>
    <t>PI</t>
  </si>
  <si>
    <t>PP</t>
  </si>
  <si>
    <t>PE</t>
  </si>
  <si>
    <t>Frame end = 2</t>
  </si>
  <si>
    <t>OS</t>
  </si>
  <si>
    <t>1 (one) 2</t>
  </si>
  <si>
    <t>RU</t>
  </si>
  <si>
    <t>Bounding</t>
  </si>
  <si>
    <t>SO</t>
  </si>
  <si>
    <t>Box</t>
  </si>
  <si>
    <t>TK</t>
  </si>
  <si>
    <t>green square</t>
  </si>
  <si>
    <t>blue square</t>
  </si>
  <si>
    <t>left→up</t>
  </si>
  <si>
    <t>bram counter</t>
  </si>
  <si>
    <t>actl xsize</t>
  </si>
  <si>
    <t>actl ysize</t>
  </si>
  <si>
    <t>exist</t>
  </si>
  <si>
    <t>total actl</t>
  </si>
  <si>
    <t>bram counter 1</t>
  </si>
  <si>
    <t>FA</t>
  </si>
  <si>
    <t>KB</t>
  </si>
  <si>
    <t>SI</t>
  </si>
  <si>
    <t>MX</t>
  </si>
  <si>
    <t>eyedropper</t>
  </si>
  <si>
    <t>JW</t>
  </si>
  <si>
    <t>QP</t>
  </si>
  <si>
    <t>TH</t>
  </si>
  <si>
    <t>num1</t>
  </si>
  <si>
    <t>num2</t>
  </si>
  <si>
    <t>num3</t>
  </si>
  <si>
    <t>num4</t>
  </si>
  <si>
    <t>SP</t>
  </si>
  <si>
    <t>UF</t>
  </si>
  <si>
    <t>VB</t>
  </si>
  <si>
    <t>big 4</t>
  </si>
  <si>
    <t>big 16</t>
  </si>
  <si>
    <t>big 36</t>
  </si>
  <si>
    <t>big 64</t>
  </si>
  <si>
    <t>PH</t>
  </si>
  <si>
    <t>QN</t>
  </si>
  <si>
    <t>QM</t>
  </si>
  <si>
    <t>RK</t>
  </si>
  <si>
    <t>BL</t>
  </si>
  <si>
    <t>MU</t>
  </si>
  <si>
    <t>MW</t>
  </si>
  <si>
    <t>FR tab pic 2</t>
  </si>
  <si>
    <t>MZ</t>
  </si>
  <si>
    <t>FR tab pic 1 (FR)</t>
  </si>
  <si>
    <t>FR tab header</t>
  </si>
  <si>
    <t>Union pic 1</t>
  </si>
  <si>
    <t>Union pic 2</t>
  </si>
  <si>
    <t>Reference</t>
  </si>
  <si>
    <t>X Offset</t>
  </si>
  <si>
    <t>X relative</t>
  </si>
  <si>
    <t>X raw</t>
  </si>
  <si>
    <t>Y offset</t>
  </si>
  <si>
    <t>Y test</t>
  </si>
  <si>
    <t>X test</t>
  </si>
  <si>
    <t>Y relative</t>
  </si>
  <si>
    <t>Union tab header</t>
  </si>
  <si>
    <t>(change every new tab)</t>
  </si>
  <si>
    <t>(change for new thing)</t>
  </si>
  <si>
    <t>(do not change)</t>
  </si>
  <si>
    <t>Update pic 1</t>
  </si>
  <si>
    <t>Update pic 2</t>
  </si>
  <si>
    <t>Update tab header</t>
  </si>
  <si>
    <t>stats tab header</t>
  </si>
  <si>
    <t>(take this for headers)</t>
  </si>
  <si>
    <t>filter pic 1</t>
  </si>
  <si>
    <t>AUT</t>
  </si>
  <si>
    <t>filter pic 2</t>
  </si>
  <si>
    <t>(use this for text)</t>
  </si>
  <si>
    <t>(input this in vsc)</t>
  </si>
  <si>
    <t>filter tab header</t>
  </si>
  <si>
    <t>(for text only)</t>
  </si>
  <si>
    <t>bb pic 1</t>
  </si>
  <si>
    <t>bb pic 2</t>
  </si>
  <si>
    <t>bounding tab header</t>
  </si>
  <si>
    <t>RG</t>
  </si>
  <si>
    <t>box tab header</t>
  </si>
  <si>
    <t>VW</t>
  </si>
  <si>
    <t>DZ</t>
  </si>
  <si>
    <t>C</t>
  </si>
  <si>
    <t>R</t>
  </si>
  <si>
    <t>ES</t>
  </si>
  <si>
    <t>EN</t>
  </si>
  <si>
    <t>Q</t>
  </si>
  <si>
    <t>DL</t>
  </si>
  <si>
    <t>FU</t>
  </si>
  <si>
    <t>DJ</t>
  </si>
  <si>
    <t>GI</t>
  </si>
  <si>
    <t>QZ</t>
  </si>
  <si>
    <t>SH</t>
  </si>
  <si>
    <t>TA</t>
  </si>
  <si>
    <t>Insert</t>
  </si>
  <si>
    <t>Coin</t>
  </si>
  <si>
    <t>FY</t>
  </si>
  <si>
    <t>AYG</t>
  </si>
  <si>
    <t>T</t>
  </si>
  <si>
    <t>AC</t>
  </si>
  <si>
    <t>K</t>
  </si>
  <si>
    <t>WJ</t>
  </si>
  <si>
    <t>WI</t>
  </si>
  <si>
    <t>WH</t>
  </si>
  <si>
    <t>O</t>
  </si>
  <si>
    <t>B</t>
  </si>
  <si>
    <t>J</t>
  </si>
  <si>
    <t>E</t>
  </si>
  <si>
    <t>A</t>
  </si>
  <si>
    <t>JT</t>
  </si>
  <si>
    <t>LX</t>
  </si>
  <si>
    <t>NX</t>
  </si>
  <si>
    <t>QF</t>
  </si>
  <si>
    <t>RD</t>
  </si>
  <si>
    <t>PD</t>
  </si>
  <si>
    <t>KR</t>
  </si>
  <si>
    <t>GF</t>
  </si>
  <si>
    <t>EF</t>
  </si>
  <si>
    <t>AH</t>
  </si>
  <si>
    <t>CJ</t>
  </si>
  <si>
    <t>IY</t>
  </si>
  <si>
    <t>LI</t>
  </si>
  <si>
    <t>AK</t>
  </si>
  <si>
    <t>BK</t>
  </si>
  <si>
    <t>BZ</t>
  </si>
  <si>
    <t>BR</t>
  </si>
  <si>
    <t>CW</t>
  </si>
  <si>
    <t>CD</t>
  </si>
  <si>
    <t>EJ</t>
  </si>
  <si>
    <t>FI</t>
  </si>
  <si>
    <t>CR</t>
  </si>
  <si>
    <t>DQ</t>
  </si>
  <si>
    <t>EX</t>
  </si>
  <si>
    <t>FW</t>
  </si>
  <si>
    <t>CY</t>
  </si>
  <si>
    <t>GT</t>
  </si>
  <si>
    <t>GV</t>
  </si>
  <si>
    <t>HG</t>
  </si>
  <si>
    <t>IP</t>
  </si>
  <si>
    <t>HQ</t>
  </si>
  <si>
    <t>IK</t>
  </si>
  <si>
    <t>LU</t>
  </si>
  <si>
    <t>MB</t>
  </si>
  <si>
    <t>LW</t>
  </si>
  <si>
    <t>LG</t>
  </si>
  <si>
    <t>GN</t>
  </si>
  <si>
    <t>KC</t>
  </si>
  <si>
    <t>FB</t>
  </si>
  <si>
    <t>BW</t>
  </si>
  <si>
    <t>CH</t>
  </si>
  <si>
    <t>OK</t>
  </si>
  <si>
    <t>OO</t>
  </si>
  <si>
    <t>PJ</t>
  </si>
  <si>
    <t>PQ</t>
  </si>
  <si>
    <t>PF</t>
  </si>
  <si>
    <t>SJ</t>
  </si>
  <si>
    <t>RV</t>
  </si>
  <si>
    <t>TL</t>
  </si>
  <si>
    <t>SQ</t>
  </si>
  <si>
    <t>TI</t>
  </si>
  <si>
    <t>UG</t>
  </si>
  <si>
    <t>VC</t>
  </si>
  <si>
    <t>QQ</t>
  </si>
  <si>
    <t>QO</t>
  </si>
  <si>
    <t>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</si>
</sst>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3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1" fillId="0" borderId="1" xfId="0" applyFont="1" applyBorder="1"/>
    <xf numFmtId="0" fontId="1" fillId="2" borderId="2" xfId="0" applyFont="1" applyFill="1" applyBorder="1"/>
    <xf numFmtId="0" fontId="1" fillId="0" borderId="2" xfId="0" applyFont="1" applyBorder="1"/>
    <xf numFmtId="0" fontId="1" fillId="0" borderId="9" xfId="0" applyFont="1" applyBorder="1"/>
    <xf numFmtId="0" fontId="1" fillId="0" borderId="10" xfId="0" applyFont="1" applyBorder="1"/>
    <xf numFmtId="0" fontId="1" fillId="2" borderId="10" xfId="0" applyFont="1" applyFill="1" applyBorder="1"/>
    <xf numFmtId="0" fontId="1" fillId="0" borderId="11" xfId="0" applyFont="1" applyBorder="1"/>
    <xf numFmtId="0" fontId="1" fillId="0" borderId="3" xfId="0" applyFont="1" applyBorder="1"/>
    <xf numFmtId="0" fontId="1" fillId="2" borderId="4" xfId="0" applyFont="1" applyFill="1" applyBorder="1"/>
    <xf numFmtId="0" fontId="1" fillId="2" borderId="0" xfId="0" applyFont="1" applyFill="1"/>
    <xf numFmtId="0" fontId="1" fillId="0" borderId="12" xfId="0" applyFont="1" applyBorder="1"/>
    <xf numFmtId="0" fontId="1" fillId="0" borderId="13" xfId="0" applyFont="1" applyBorder="1"/>
    <xf numFmtId="0" fontId="1" fillId="0" borderId="5" xfId="0" applyFont="1" applyBorder="1"/>
    <xf numFmtId="0" fontId="1" fillId="0" borderId="4" xfId="0" applyFont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0" borderId="15" xfId="0" applyFont="1" applyBorder="1"/>
    <xf numFmtId="0" fontId="1" fillId="2" borderId="16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49" fontId="1" fillId="0" borderId="0" xfId="0" applyNumberFormat="1" applyFont="1"/>
    <xf numFmtId="11" fontId="1" fillId="0" borderId="0" xfId="0" applyNumberFormat="1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3442-B1B6-4885-8184-ED58D8DFCAE7}">
  <dimension ref="A1:XP480"/>
  <sheetViews>
    <sheetView zoomScale="10" zoomScaleNormal="10" workbookViewId="0">
      <selection activeCell="AP38" sqref="AP38"/>
    </sheetView>
  </sheetViews>
  <sheetFormatPr defaultColWidth="3.33203125" defaultRowHeight="18" customHeight="1" x14ac:dyDescent="0.3"/>
  <cols>
    <col min="67" max="67" width="3.33203125" customWidth="1"/>
  </cols>
  <sheetData>
    <row r="1" spans="1:640" ht="18" customHeight="1" x14ac:dyDescent="0.3">
      <c r="A1" s="2"/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4"/>
      <c r="Z1" s="4"/>
      <c r="AA1" s="4"/>
      <c r="AB1" s="4"/>
      <c r="AC1" s="3"/>
      <c r="AD1" s="3"/>
      <c r="AE1" s="3"/>
      <c r="AF1" s="3"/>
      <c r="AG1" s="3"/>
      <c r="AH1" s="3"/>
      <c r="AI1" s="3"/>
      <c r="AJ1" s="3"/>
      <c r="AK1" s="3"/>
      <c r="AL1" s="4"/>
      <c r="AM1" s="4"/>
      <c r="AN1" s="4"/>
      <c r="AO1" s="4"/>
      <c r="AP1" s="4"/>
      <c r="AQ1" s="3"/>
      <c r="AR1" s="3"/>
      <c r="AS1" s="3"/>
      <c r="AT1" s="3"/>
      <c r="AU1" s="3"/>
      <c r="AV1" s="3"/>
      <c r="AW1" s="3"/>
      <c r="AX1" s="3"/>
      <c r="AY1" s="3"/>
      <c r="AZ1" s="4"/>
      <c r="BA1" s="4"/>
      <c r="BB1" s="4"/>
      <c r="BC1" s="3"/>
      <c r="BD1" s="3"/>
      <c r="BE1" s="3"/>
      <c r="BF1" s="3"/>
      <c r="BG1" s="3"/>
      <c r="BH1" s="3"/>
      <c r="BI1" s="3"/>
      <c r="BJ1" s="3"/>
      <c r="BK1" s="3"/>
      <c r="BL1" s="4"/>
      <c r="BM1" s="4"/>
      <c r="BN1" s="4"/>
      <c r="BO1" s="4"/>
      <c r="BP1" s="4"/>
      <c r="BQ1" s="3"/>
      <c r="BR1" s="3"/>
      <c r="BS1" s="3"/>
      <c r="BT1" s="3"/>
      <c r="BU1" s="3"/>
      <c r="BV1" s="3"/>
      <c r="BW1" s="3"/>
      <c r="BX1" s="3"/>
      <c r="BY1" s="3"/>
      <c r="BZ1" s="4"/>
      <c r="CA1" s="4"/>
      <c r="CB1" s="4"/>
      <c r="CC1" s="4"/>
      <c r="CD1" s="4"/>
      <c r="CE1" s="3"/>
      <c r="CF1" s="3"/>
      <c r="CG1" s="3"/>
      <c r="CH1" s="3"/>
      <c r="CI1" s="3"/>
      <c r="CJ1" s="3"/>
      <c r="CK1" s="3"/>
      <c r="CL1" s="3"/>
      <c r="CM1" s="3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5"/>
    </row>
    <row r="2" spans="1:640" ht="18" customHeight="1" x14ac:dyDescent="0.3">
      <c r="A2" s="6"/>
      <c r="B2" s="1"/>
      <c r="F2" s="1"/>
      <c r="J2" s="1"/>
      <c r="K2" s="1"/>
      <c r="O2" s="1"/>
      <c r="Y2" s="1"/>
      <c r="AG2" s="1"/>
      <c r="AL2" s="1"/>
      <c r="AP2" s="1"/>
      <c r="BG2" s="1"/>
      <c r="BL2" s="1"/>
      <c r="BP2" s="1"/>
      <c r="CD2" s="1"/>
      <c r="XP2" s="7"/>
    </row>
    <row r="3" spans="1:640" ht="18" customHeight="1" x14ac:dyDescent="0.3">
      <c r="A3" s="6"/>
      <c r="C3" s="1"/>
      <c r="F3" s="1"/>
      <c r="I3" s="1"/>
      <c r="K3" s="1"/>
      <c r="O3" s="1"/>
      <c r="Y3" s="1"/>
      <c r="AG3" s="1"/>
      <c r="AL3" s="1"/>
      <c r="AP3" s="1"/>
      <c r="BG3" s="1"/>
      <c r="BL3" s="1"/>
      <c r="BP3" s="1"/>
      <c r="CD3" s="1"/>
      <c r="XP3" s="7"/>
    </row>
    <row r="4" spans="1:640" ht="18" customHeight="1" x14ac:dyDescent="0.3">
      <c r="A4" s="6"/>
      <c r="C4" s="1"/>
      <c r="F4" s="1"/>
      <c r="I4" s="1"/>
      <c r="K4" s="1"/>
      <c r="O4" s="1"/>
      <c r="Y4" s="1"/>
      <c r="AG4" s="1"/>
      <c r="AL4" s="1"/>
      <c r="AP4" s="1"/>
      <c r="BG4" s="1"/>
      <c r="BL4" s="1"/>
      <c r="BP4" s="1"/>
      <c r="CD4" s="1"/>
      <c r="XP4" s="7"/>
    </row>
    <row r="5" spans="1:640" ht="18" customHeight="1" x14ac:dyDescent="0.3">
      <c r="A5" s="6"/>
      <c r="C5" s="1"/>
      <c r="F5" s="1"/>
      <c r="I5" s="1"/>
      <c r="K5" s="1"/>
      <c r="O5" s="1"/>
      <c r="Y5" s="1"/>
      <c r="AG5" s="1"/>
      <c r="AL5" s="1"/>
      <c r="AP5" s="1"/>
      <c r="BG5" s="1"/>
      <c r="BL5" s="1"/>
      <c r="BP5" s="1"/>
      <c r="CD5" s="1"/>
      <c r="XP5" s="7"/>
    </row>
    <row r="6" spans="1:640" ht="18" customHeight="1" x14ac:dyDescent="0.3">
      <c r="A6" s="6"/>
      <c r="D6" s="1"/>
      <c r="F6" s="1"/>
      <c r="H6" s="1"/>
      <c r="K6" s="1"/>
      <c r="O6" s="1"/>
      <c r="Y6" s="1"/>
      <c r="AG6" s="1"/>
      <c r="AL6" s="1"/>
      <c r="AP6" s="1"/>
      <c r="BG6" s="1"/>
      <c r="BL6" s="1"/>
      <c r="BP6" s="1"/>
      <c r="CD6" s="1"/>
      <c r="XP6" s="7"/>
    </row>
    <row r="7" spans="1:640" ht="18" customHeight="1" x14ac:dyDescent="0.3">
      <c r="A7" s="6"/>
      <c r="D7" s="1"/>
      <c r="F7" s="1"/>
      <c r="H7" s="1"/>
      <c r="K7" s="1"/>
      <c r="O7" s="1"/>
      <c r="Y7" s="1"/>
      <c r="AG7" s="1"/>
      <c r="AL7" s="1"/>
      <c r="AP7" s="1"/>
      <c r="BG7" s="1"/>
      <c r="BL7" s="1"/>
      <c r="BP7" s="1"/>
      <c r="CD7" s="1"/>
      <c r="XP7" s="7"/>
    </row>
    <row r="8" spans="1:640" ht="18" customHeight="1" x14ac:dyDescent="0.3">
      <c r="A8" s="6"/>
      <c r="E8" s="1"/>
      <c r="F8" s="1"/>
      <c r="G8" s="1"/>
      <c r="K8" s="1"/>
      <c r="O8" s="1"/>
      <c r="Y8" s="1"/>
      <c r="AG8" s="1"/>
      <c r="AL8" s="1"/>
      <c r="AP8" s="1"/>
      <c r="BG8" s="1"/>
      <c r="BL8" s="1"/>
      <c r="BP8" s="1"/>
      <c r="CD8" s="1"/>
      <c r="XP8" s="7"/>
    </row>
    <row r="9" spans="1:640" ht="18" customHeight="1" x14ac:dyDescent="0.3">
      <c r="A9" s="8"/>
      <c r="B9" s="1"/>
      <c r="C9" s="1"/>
      <c r="D9" s="1"/>
      <c r="E9" s="1"/>
      <c r="F9" s="1"/>
      <c r="G9" s="1"/>
      <c r="H9" s="1"/>
      <c r="I9" s="1"/>
      <c r="J9" s="1"/>
      <c r="P9" s="1"/>
      <c r="Q9" s="1"/>
      <c r="R9" s="1"/>
      <c r="S9" s="1"/>
      <c r="T9" s="1"/>
      <c r="U9" s="1"/>
      <c r="V9" s="1"/>
      <c r="W9" s="1"/>
      <c r="X9" s="1"/>
      <c r="AG9" s="1"/>
      <c r="AH9" s="1"/>
      <c r="AI9" s="1"/>
      <c r="AJ9" s="1"/>
      <c r="AK9" s="1"/>
      <c r="BG9" s="1"/>
      <c r="BQ9" s="1"/>
      <c r="BR9" s="1"/>
      <c r="BS9" s="1"/>
      <c r="BT9" s="1"/>
      <c r="BU9" s="1"/>
      <c r="CE9" s="1"/>
      <c r="CF9" s="1"/>
      <c r="CG9" s="1"/>
      <c r="CH9" s="1"/>
      <c r="CI9" s="1"/>
      <c r="XP9" s="7"/>
    </row>
    <row r="10" spans="1:640" ht="18" customHeight="1" x14ac:dyDescent="0.3">
      <c r="A10" s="6"/>
      <c r="E10" s="1"/>
      <c r="F10" s="1"/>
      <c r="G10" s="1"/>
      <c r="K10" s="1"/>
      <c r="O10" s="1"/>
      <c r="Y10" s="1"/>
      <c r="AG10" s="1"/>
      <c r="AL10" s="1"/>
      <c r="AP10" s="1"/>
      <c r="BG10" s="1"/>
      <c r="BL10" s="1"/>
      <c r="BP10" s="1"/>
      <c r="CD10" s="1"/>
      <c r="XP10" s="7"/>
    </row>
    <row r="11" spans="1:640" ht="18" customHeight="1" x14ac:dyDescent="0.3">
      <c r="A11" s="6"/>
      <c r="D11" s="1"/>
      <c r="F11" s="1"/>
      <c r="H11" s="1"/>
      <c r="K11" s="1"/>
      <c r="O11" s="1"/>
      <c r="Y11" s="1"/>
      <c r="AG11" s="1"/>
      <c r="AL11" s="1"/>
      <c r="AP11" s="1"/>
      <c r="BG11" s="1"/>
      <c r="BL11" s="1"/>
      <c r="BP11" s="1"/>
      <c r="CD11" s="1"/>
      <c r="XP11" s="7"/>
    </row>
    <row r="12" spans="1:640" ht="18" customHeight="1" x14ac:dyDescent="0.3">
      <c r="A12" s="6"/>
      <c r="D12" s="1"/>
      <c r="F12" s="1"/>
      <c r="H12" s="1"/>
      <c r="K12" s="1"/>
      <c r="O12" s="1"/>
      <c r="Y12" s="1"/>
      <c r="AG12" s="1"/>
      <c r="AL12" s="1"/>
      <c r="AP12" s="1"/>
      <c r="BG12" s="1"/>
      <c r="BL12" s="1"/>
      <c r="BP12" s="1"/>
      <c r="CD12" s="1"/>
      <c r="XP12" s="7"/>
    </row>
    <row r="13" spans="1:640" ht="18" customHeight="1" x14ac:dyDescent="0.3">
      <c r="A13" s="6"/>
      <c r="C13" s="1"/>
      <c r="F13" s="1"/>
      <c r="I13" s="1"/>
      <c r="K13" s="1"/>
      <c r="O13" s="1"/>
      <c r="Y13" s="1"/>
      <c r="AG13" s="1"/>
      <c r="AL13" s="1"/>
      <c r="AP13" s="1"/>
      <c r="BG13" s="1"/>
      <c r="BL13" s="1"/>
      <c r="BP13" s="1"/>
      <c r="CD13" s="1"/>
      <c r="XP13" s="7"/>
    </row>
    <row r="14" spans="1:640" ht="18" customHeight="1" x14ac:dyDescent="0.3">
      <c r="A14" s="6"/>
      <c r="C14" s="1"/>
      <c r="F14" s="1"/>
      <c r="I14" s="1"/>
      <c r="K14" s="1"/>
      <c r="O14" s="1"/>
      <c r="Y14" s="1"/>
      <c r="AG14" s="1"/>
      <c r="AL14" s="1"/>
      <c r="AP14" s="1"/>
      <c r="BG14" s="1"/>
      <c r="BL14" s="1"/>
      <c r="BP14" s="1"/>
      <c r="CD14" s="1"/>
      <c r="XP14" s="7"/>
    </row>
    <row r="15" spans="1:640" ht="18" customHeight="1" x14ac:dyDescent="0.3">
      <c r="A15" s="6"/>
      <c r="C15" s="1"/>
      <c r="F15" s="1"/>
      <c r="I15" s="1"/>
      <c r="K15" s="1"/>
      <c r="O15" s="1"/>
      <c r="Y15" s="1"/>
      <c r="AG15" s="1"/>
      <c r="AL15" s="1"/>
      <c r="AP15" s="1"/>
      <c r="BG15" s="1"/>
      <c r="BL15" s="1"/>
      <c r="BP15" s="1"/>
      <c r="CD15" s="1"/>
      <c r="XP15" s="7"/>
    </row>
    <row r="16" spans="1:640" ht="18" customHeight="1" x14ac:dyDescent="0.3">
      <c r="A16" s="6"/>
      <c r="B16" s="1"/>
      <c r="F16" s="1"/>
      <c r="J16" s="1"/>
      <c r="K16" s="1"/>
      <c r="O16" s="1"/>
      <c r="Y16" s="1"/>
      <c r="AG16" s="1"/>
      <c r="AL16" s="1"/>
      <c r="AP16" s="1"/>
      <c r="BG16" s="1"/>
      <c r="BL16" s="1"/>
      <c r="BP16" s="1"/>
      <c r="CD16" s="1"/>
      <c r="XP16" s="7"/>
    </row>
    <row r="17" spans="1:640" ht="18" customHeight="1" x14ac:dyDescent="0.3">
      <c r="A17" s="8"/>
      <c r="B17" s="1"/>
      <c r="C17" s="1"/>
      <c r="D17" s="1"/>
      <c r="E17" s="1"/>
      <c r="F17" s="1"/>
      <c r="G17" s="1"/>
      <c r="H17" s="1"/>
      <c r="I17" s="1"/>
      <c r="J17" s="1"/>
      <c r="AC17" s="1"/>
      <c r="AD17" s="1"/>
      <c r="AE17" s="1"/>
      <c r="AF17" s="1"/>
      <c r="AG17" s="1"/>
      <c r="AH17" s="1"/>
      <c r="AI17" s="1"/>
      <c r="AJ17" s="1"/>
      <c r="AK17" s="1"/>
      <c r="AQ17" s="1"/>
      <c r="AR17" s="1"/>
      <c r="AS17" s="1"/>
      <c r="AT17" s="1"/>
      <c r="AU17" s="1"/>
      <c r="AV17" s="1"/>
      <c r="AW17" s="1"/>
      <c r="AX17" s="1"/>
      <c r="AY17" s="1"/>
      <c r="BC17" s="1"/>
      <c r="BD17" s="1"/>
      <c r="BE17" s="1"/>
      <c r="BF17" s="1"/>
      <c r="BG17" s="1"/>
      <c r="BH17" s="1"/>
      <c r="BI17" s="1"/>
      <c r="BJ17" s="1"/>
      <c r="BK17" s="1"/>
      <c r="BQ17" s="1"/>
      <c r="BR17" s="1"/>
      <c r="BS17" s="1"/>
      <c r="BT17" s="1"/>
      <c r="BU17" s="1"/>
      <c r="BV17" s="1"/>
      <c r="BW17" s="1"/>
      <c r="BX17" s="1"/>
      <c r="BY17" s="1"/>
      <c r="XP17" s="7"/>
    </row>
    <row r="18" spans="1:640" ht="18" customHeight="1" x14ac:dyDescent="0.3">
      <c r="A18" s="8"/>
      <c r="XP18" s="7"/>
    </row>
    <row r="19" spans="1:640" ht="18" customHeight="1" x14ac:dyDescent="0.3">
      <c r="A19" s="8"/>
      <c r="XP19" s="7"/>
    </row>
    <row r="20" spans="1:640" ht="18" customHeight="1" x14ac:dyDescent="0.3">
      <c r="A20" s="8"/>
      <c r="XP20" s="7"/>
    </row>
    <row r="21" spans="1:640" ht="18" customHeight="1" x14ac:dyDescent="0.3">
      <c r="A21" s="8"/>
      <c r="B21" s="1"/>
      <c r="C21" s="1"/>
      <c r="D21" s="1"/>
      <c r="E21" s="1"/>
      <c r="F21" s="1"/>
      <c r="G21" s="1"/>
      <c r="H21" s="1"/>
      <c r="I21" s="1"/>
      <c r="J21" s="1"/>
      <c r="XP21" s="7"/>
    </row>
    <row r="22" spans="1:640" ht="18" customHeight="1" x14ac:dyDescent="0.3">
      <c r="A22" s="6"/>
      <c r="B22" s="1"/>
      <c r="F22" s="1"/>
      <c r="J22" s="1"/>
      <c r="K22" s="1"/>
      <c r="O22" s="1"/>
      <c r="X22" s="1"/>
      <c r="AQ22" s="1"/>
      <c r="AR22" s="1"/>
      <c r="AS22" s="1">
        <v>0</v>
      </c>
      <c r="AT22" s="1"/>
      <c r="AU22" s="1"/>
      <c r="AV22" s="1"/>
      <c r="AW22" s="1">
        <v>1</v>
      </c>
      <c r="AX22" s="1"/>
      <c r="AY22" s="1"/>
      <c r="BD22" s="1"/>
      <c r="BE22" s="1"/>
      <c r="BF22" s="1"/>
      <c r="BG22" s="1"/>
      <c r="BH22" s="1"/>
      <c r="BI22" s="1"/>
      <c r="BJ22" s="1"/>
      <c r="BK22" s="1"/>
      <c r="BL22" s="1"/>
      <c r="BQ22" s="1"/>
      <c r="BR22" s="1"/>
      <c r="BS22" s="1"/>
      <c r="BT22" s="1"/>
      <c r="BU22" s="1"/>
      <c r="BV22" s="1"/>
      <c r="BW22" s="1"/>
      <c r="CD22" s="1"/>
      <c r="CE22" s="1"/>
      <c r="CF22" s="1"/>
      <c r="CG22" s="1"/>
      <c r="CH22" s="1"/>
      <c r="CI22" s="1"/>
      <c r="CJ22" s="1"/>
      <c r="CP22" s="1"/>
      <c r="CQ22" s="1"/>
      <c r="CR22" s="1"/>
      <c r="CS22" s="1"/>
      <c r="CT22" s="1"/>
      <c r="CU22" s="1"/>
      <c r="CV22" s="1"/>
      <c r="XP22" s="7"/>
    </row>
    <row r="23" spans="1:640" ht="18" customHeight="1" x14ac:dyDescent="0.3">
      <c r="A23" s="6"/>
      <c r="C23" s="1"/>
      <c r="F23" s="1"/>
      <c r="I23" s="1"/>
      <c r="K23" s="1"/>
      <c r="O23" s="1"/>
      <c r="W23" s="1"/>
      <c r="AC23" s="1"/>
      <c r="AL23" s="1"/>
      <c r="AP23" s="1"/>
      <c r="AQ23" s="1"/>
      <c r="AU23" s="1"/>
      <c r="AY23" s="1"/>
      <c r="AZ23" s="1"/>
      <c r="BC23" s="1"/>
      <c r="BD23" s="1"/>
      <c r="BH23" s="1"/>
      <c r="BL23" s="1"/>
      <c r="BM23" s="1"/>
      <c r="BP23" s="1"/>
      <c r="BQ23" s="1"/>
      <c r="BT23" s="1"/>
      <c r="BW23" s="1"/>
      <c r="BX23" s="1"/>
      <c r="CC23" s="1"/>
      <c r="CK23" s="1"/>
      <c r="CS23" s="1"/>
      <c r="CW23" s="1"/>
      <c r="XP23" s="7"/>
    </row>
    <row r="24" spans="1:640" ht="18" customHeight="1" x14ac:dyDescent="0.3">
      <c r="A24" s="6"/>
      <c r="C24" s="1"/>
      <c r="F24" s="1"/>
      <c r="I24" s="1"/>
      <c r="K24" s="1"/>
      <c r="O24" s="1"/>
      <c r="W24" s="1"/>
      <c r="AC24" s="1"/>
      <c r="AK24" s="1"/>
      <c r="AP24" s="1"/>
      <c r="AR24" s="1"/>
      <c r="AU24" s="1"/>
      <c r="AX24" s="1"/>
      <c r="AZ24" s="1"/>
      <c r="BC24" s="1"/>
      <c r="BE24" s="1"/>
      <c r="BH24" s="1"/>
      <c r="BK24" s="1"/>
      <c r="BM24" s="1"/>
      <c r="BP24" s="1"/>
      <c r="BR24" s="1"/>
      <c r="BT24" s="1"/>
      <c r="BV24" s="1"/>
      <c r="BX24" s="1"/>
      <c r="CC24" s="1"/>
      <c r="CK24" s="1"/>
      <c r="CS24" s="1"/>
      <c r="CW24" s="1"/>
      <c r="XP24" s="7"/>
    </row>
    <row r="25" spans="1:640" ht="18" customHeight="1" x14ac:dyDescent="0.3">
      <c r="A25" s="6"/>
      <c r="C25" s="1"/>
      <c r="F25" s="1"/>
      <c r="I25" s="1"/>
      <c r="K25" s="1"/>
      <c r="O25" s="1"/>
      <c r="W25" s="1"/>
      <c r="AC25" s="1"/>
      <c r="AK25" s="1"/>
      <c r="AP25" s="1"/>
      <c r="AR25" s="1">
        <v>10</v>
      </c>
      <c r="AU25" s="1">
        <v>14</v>
      </c>
      <c r="AX25" s="1">
        <v>11</v>
      </c>
      <c r="AZ25" s="1"/>
      <c r="BC25" s="1"/>
      <c r="BE25" s="1"/>
      <c r="BH25" s="1"/>
      <c r="BK25" s="1"/>
      <c r="BM25" s="1"/>
      <c r="BP25" s="1"/>
      <c r="BR25" s="1"/>
      <c r="BT25" s="1"/>
      <c r="BV25" s="1"/>
      <c r="BX25" s="1"/>
      <c r="CC25" s="1"/>
      <c r="CK25" s="1"/>
      <c r="CS25" s="1"/>
      <c r="CW25" s="1"/>
      <c r="XP25" s="7"/>
    </row>
    <row r="26" spans="1:640" ht="18" customHeight="1" x14ac:dyDescent="0.3">
      <c r="A26" s="6"/>
      <c r="D26" s="1"/>
      <c r="F26" s="1"/>
      <c r="H26" s="1"/>
      <c r="K26" s="1"/>
      <c r="O26" s="1"/>
      <c r="V26" s="1"/>
      <c r="AC26" s="1"/>
      <c r="AK26" s="1"/>
      <c r="AP26" s="1">
        <v>7</v>
      </c>
      <c r="AR26" s="1"/>
      <c r="AU26" s="1"/>
      <c r="AX26" s="1"/>
      <c r="AZ26" s="1">
        <v>2</v>
      </c>
      <c r="BC26" s="1"/>
      <c r="BE26" s="1"/>
      <c r="BH26" s="1"/>
      <c r="BK26" s="1"/>
      <c r="BM26" s="1"/>
      <c r="BP26" s="1"/>
      <c r="BR26" s="1"/>
      <c r="BT26" s="1"/>
      <c r="BV26" s="1"/>
      <c r="BX26" s="1"/>
      <c r="CC26" s="1"/>
      <c r="CK26" s="1"/>
      <c r="CS26" s="1"/>
      <c r="CW26" s="1"/>
      <c r="XP26" s="7"/>
    </row>
    <row r="27" spans="1:640" ht="18" customHeight="1" x14ac:dyDescent="0.3">
      <c r="A27" s="6"/>
      <c r="D27" s="1"/>
      <c r="F27" s="1"/>
      <c r="H27" s="1"/>
      <c r="K27" s="1"/>
      <c r="O27" s="1"/>
      <c r="V27" s="1"/>
      <c r="AC27" s="1"/>
      <c r="AJ27" s="1"/>
      <c r="AP27" s="1"/>
      <c r="AS27" s="1"/>
      <c r="AU27" s="1"/>
      <c r="AW27" s="1"/>
      <c r="AZ27" s="1"/>
      <c r="BC27" s="1"/>
      <c r="BF27" s="1"/>
      <c r="BH27" s="1"/>
      <c r="BJ27" s="1"/>
      <c r="BM27" s="1"/>
      <c r="BP27" s="1"/>
      <c r="BR27" s="1"/>
      <c r="BT27" s="1"/>
      <c r="BV27" s="1"/>
      <c r="BX27" s="1"/>
      <c r="CC27" s="1"/>
      <c r="CK27" s="1"/>
      <c r="CS27" s="1"/>
      <c r="CW27" s="1"/>
      <c r="XP27" s="7"/>
    </row>
    <row r="28" spans="1:640" ht="18" customHeight="1" x14ac:dyDescent="0.3">
      <c r="A28" s="6"/>
      <c r="E28" s="1"/>
      <c r="F28" s="1"/>
      <c r="G28" s="1"/>
      <c r="K28" s="1"/>
      <c r="O28" s="1"/>
      <c r="U28" s="1"/>
      <c r="AC28" s="1"/>
      <c r="AJ28" s="1"/>
      <c r="AP28" s="1"/>
      <c r="AS28" s="1"/>
      <c r="AU28" s="1"/>
      <c r="AW28" s="1"/>
      <c r="AZ28" s="1"/>
      <c r="BC28" s="1"/>
      <c r="BF28" s="1"/>
      <c r="BH28" s="1"/>
      <c r="BJ28" s="1"/>
      <c r="BM28" s="1"/>
      <c r="BP28" s="1"/>
      <c r="BS28" s="1"/>
      <c r="BT28" s="1"/>
      <c r="BU28" s="1"/>
      <c r="BX28" s="1"/>
      <c r="CC28" s="1"/>
      <c r="CK28" s="1"/>
      <c r="CS28" s="1"/>
      <c r="CW28" s="1"/>
      <c r="XP28" s="7"/>
    </row>
    <row r="29" spans="1:640" ht="18" customHeight="1" x14ac:dyDescent="0.3">
      <c r="A29" s="8"/>
      <c r="B29" s="1"/>
      <c r="C29" s="1"/>
      <c r="D29" s="1"/>
      <c r="E29" s="1"/>
      <c r="F29" s="1"/>
      <c r="G29" s="1"/>
      <c r="H29" s="1"/>
      <c r="I29" s="1"/>
      <c r="J29" s="1"/>
      <c r="P29" s="1"/>
      <c r="Q29" s="1"/>
      <c r="R29" s="1"/>
      <c r="S29" s="1"/>
      <c r="T29" s="1"/>
      <c r="AC29" s="1"/>
      <c r="AI29" s="1"/>
      <c r="AP29" s="1"/>
      <c r="AT29" s="1"/>
      <c r="AU29" s="1"/>
      <c r="AV29" s="1"/>
      <c r="AZ29" s="1"/>
      <c r="BC29" s="1"/>
      <c r="BG29" s="1"/>
      <c r="BH29" s="1"/>
      <c r="BI29" s="1"/>
      <c r="BM29" s="1"/>
      <c r="BQ29" s="1"/>
      <c r="BR29" s="1"/>
      <c r="BS29" s="1"/>
      <c r="BT29" s="1"/>
      <c r="BU29" s="1"/>
      <c r="BV29" s="1"/>
      <c r="BW29" s="1"/>
      <c r="CD29" s="1"/>
      <c r="CE29" s="1"/>
      <c r="CF29" s="1"/>
      <c r="CG29" s="1"/>
      <c r="CH29" s="1"/>
      <c r="CI29" s="1"/>
      <c r="CJ29" s="1"/>
      <c r="CS29" s="1"/>
      <c r="CT29" s="1"/>
      <c r="CU29" s="1"/>
      <c r="CV29" s="1"/>
      <c r="XP29" s="7"/>
    </row>
    <row r="30" spans="1:640" ht="18" customHeight="1" x14ac:dyDescent="0.3">
      <c r="A30" s="6"/>
      <c r="E30" s="1"/>
      <c r="F30" s="1"/>
      <c r="G30" s="1"/>
      <c r="K30" s="1"/>
      <c r="O30" s="1"/>
      <c r="U30" s="1"/>
      <c r="AI30" s="1"/>
      <c r="AQ30" s="1"/>
      <c r="AR30" s="1">
        <v>8</v>
      </c>
      <c r="AS30" s="1"/>
      <c r="AT30" s="1"/>
      <c r="AU30" s="1"/>
      <c r="AV30" s="1"/>
      <c r="AW30" s="1"/>
      <c r="AX30" s="1">
        <v>9</v>
      </c>
      <c r="AY30" s="1"/>
      <c r="BD30" s="1"/>
      <c r="BE30" s="1"/>
      <c r="BF30" s="1"/>
      <c r="BG30" s="1"/>
      <c r="BH30" s="1"/>
      <c r="BI30" s="1"/>
      <c r="BJ30" s="1"/>
      <c r="BK30" s="1"/>
      <c r="BL30" s="1"/>
      <c r="BP30" s="1"/>
      <c r="BS30" s="1"/>
      <c r="BT30" s="1"/>
      <c r="BU30" s="1"/>
      <c r="BX30" s="1"/>
      <c r="CC30" s="1"/>
      <c r="CK30" s="1"/>
      <c r="CS30" s="1"/>
      <c r="CW30" s="1"/>
      <c r="XP30" s="7"/>
    </row>
    <row r="31" spans="1:640" ht="18" customHeight="1" x14ac:dyDescent="0.3">
      <c r="A31" s="6"/>
      <c r="D31" s="1"/>
      <c r="F31" s="1"/>
      <c r="H31" s="1"/>
      <c r="K31" s="1"/>
      <c r="O31" s="1"/>
      <c r="V31" s="1"/>
      <c r="AC31" s="1"/>
      <c r="AG31" s="1"/>
      <c r="AH31" s="1"/>
      <c r="AP31" s="1"/>
      <c r="AT31" s="1"/>
      <c r="AU31" s="1"/>
      <c r="AV31" s="1"/>
      <c r="AZ31" s="1"/>
      <c r="BC31" s="1"/>
      <c r="BG31" s="1"/>
      <c r="BH31" s="1"/>
      <c r="BI31" s="1"/>
      <c r="BM31" s="1"/>
      <c r="BP31" s="1"/>
      <c r="BR31" s="1"/>
      <c r="BT31" s="1"/>
      <c r="BV31" s="1"/>
      <c r="BX31" s="1"/>
      <c r="CC31" s="1"/>
      <c r="CK31" s="1"/>
      <c r="CS31" s="1"/>
      <c r="CW31" s="1"/>
      <c r="XP31" s="7"/>
    </row>
    <row r="32" spans="1:640" ht="18" customHeight="1" x14ac:dyDescent="0.3">
      <c r="A32" s="6"/>
      <c r="D32" s="1"/>
      <c r="F32" s="1"/>
      <c r="H32" s="1"/>
      <c r="K32" s="1"/>
      <c r="O32" s="1"/>
      <c r="V32" s="1"/>
      <c r="AC32" s="1"/>
      <c r="AF32" s="1"/>
      <c r="AP32" s="1"/>
      <c r="AS32" s="1"/>
      <c r="AU32" s="1"/>
      <c r="AW32" s="1"/>
      <c r="AZ32" s="1"/>
      <c r="BC32" s="1"/>
      <c r="BF32" s="1"/>
      <c r="BH32" s="1"/>
      <c r="BJ32" s="1"/>
      <c r="BM32" s="1"/>
      <c r="BP32" s="1"/>
      <c r="BR32" s="1"/>
      <c r="BT32" s="1"/>
      <c r="BV32" s="1"/>
      <c r="BX32" s="1"/>
      <c r="CC32" s="1"/>
      <c r="CK32" s="1"/>
      <c r="CS32" s="1"/>
      <c r="CW32" s="1"/>
      <c r="XP32" s="7"/>
    </row>
    <row r="33" spans="1:640" ht="18" customHeight="1" x14ac:dyDescent="0.3">
      <c r="A33" s="6"/>
      <c r="C33" s="1"/>
      <c r="F33" s="1"/>
      <c r="I33" s="1"/>
      <c r="K33" s="1"/>
      <c r="O33" s="1"/>
      <c r="W33" s="1"/>
      <c r="AC33" s="1"/>
      <c r="AF33" s="1"/>
      <c r="AP33" s="1"/>
      <c r="AS33" s="1"/>
      <c r="AU33" s="1"/>
      <c r="AW33" s="1"/>
      <c r="AZ33" s="1"/>
      <c r="BC33" s="1"/>
      <c r="BF33" s="1"/>
      <c r="BH33" s="1"/>
      <c r="BJ33" s="1"/>
      <c r="BM33" s="1"/>
      <c r="BP33" s="1"/>
      <c r="BR33" s="1"/>
      <c r="BT33" s="1"/>
      <c r="BV33" s="1"/>
      <c r="BX33" s="1"/>
      <c r="CC33" s="1"/>
      <c r="CK33" s="1"/>
      <c r="CS33" s="1"/>
      <c r="CW33" s="1"/>
      <c r="XP33" s="7"/>
    </row>
    <row r="34" spans="1:640" ht="18" customHeight="1" x14ac:dyDescent="0.3">
      <c r="A34" s="6"/>
      <c r="C34" s="1"/>
      <c r="F34" s="1"/>
      <c r="I34" s="1"/>
      <c r="K34" s="1"/>
      <c r="O34" s="1"/>
      <c r="W34" s="1"/>
      <c r="AC34" s="1"/>
      <c r="AE34" s="1"/>
      <c r="AP34" s="1">
        <v>6</v>
      </c>
      <c r="AR34" s="1"/>
      <c r="AU34" s="1"/>
      <c r="AX34" s="1"/>
      <c r="AZ34" s="1">
        <v>3</v>
      </c>
      <c r="BC34" s="1"/>
      <c r="BE34" s="1"/>
      <c r="BH34" s="1"/>
      <c r="BK34" s="1"/>
      <c r="BM34" s="1"/>
      <c r="BP34" s="1"/>
      <c r="BR34" s="1"/>
      <c r="BT34" s="1"/>
      <c r="BV34" s="1"/>
      <c r="BX34" s="1"/>
      <c r="CC34" s="1"/>
      <c r="CK34" s="1"/>
      <c r="CS34" s="1"/>
      <c r="CW34" s="1"/>
      <c r="XP34" s="7"/>
    </row>
    <row r="35" spans="1:640" ht="18" customHeight="1" x14ac:dyDescent="0.3">
      <c r="A35" s="6"/>
      <c r="C35" s="1"/>
      <c r="F35" s="1"/>
      <c r="I35" s="1"/>
      <c r="K35" s="1"/>
      <c r="O35" s="1"/>
      <c r="W35" s="1"/>
      <c r="AC35" s="1"/>
      <c r="AE35" s="1"/>
      <c r="AP35" s="1"/>
      <c r="AR35" s="1">
        <v>12</v>
      </c>
      <c r="AU35" s="1">
        <v>15</v>
      </c>
      <c r="AX35" s="1">
        <v>13</v>
      </c>
      <c r="AZ35" s="1"/>
      <c r="BC35" s="1"/>
      <c r="BE35" s="1"/>
      <c r="BH35" s="1"/>
      <c r="BK35" s="1"/>
      <c r="BM35" s="1"/>
      <c r="BP35" s="1"/>
      <c r="BQ35" s="1"/>
      <c r="BT35" s="1"/>
      <c r="BW35" s="1"/>
      <c r="BX35" s="1"/>
      <c r="CC35" s="1"/>
      <c r="CK35" s="1"/>
      <c r="CS35" s="1"/>
      <c r="CW35" s="1"/>
      <c r="XP35" s="7"/>
    </row>
    <row r="36" spans="1:640" ht="18" customHeight="1" x14ac:dyDescent="0.3">
      <c r="A36" s="6"/>
      <c r="B36" s="1"/>
      <c r="F36" s="1"/>
      <c r="J36" s="1"/>
      <c r="K36" s="1"/>
      <c r="O36" s="1"/>
      <c r="X36" s="1"/>
      <c r="AC36" s="1"/>
      <c r="AE36" s="1"/>
      <c r="AP36" s="1"/>
      <c r="AR36" s="1"/>
      <c r="AU36" s="1"/>
      <c r="AX36" s="1"/>
      <c r="AZ36" s="1"/>
      <c r="BC36" s="1"/>
      <c r="BE36" s="1"/>
      <c r="BH36" s="1"/>
      <c r="BK36" s="1"/>
      <c r="BM36" s="1"/>
      <c r="BQ36" s="1"/>
      <c r="BR36" s="1"/>
      <c r="BS36" s="1"/>
      <c r="BT36" s="1"/>
      <c r="BU36" s="1"/>
      <c r="BV36" s="1"/>
      <c r="BW36" s="1"/>
      <c r="CP36" s="1"/>
      <c r="CQ36" s="1"/>
      <c r="CR36" s="1"/>
      <c r="CS36" s="1"/>
      <c r="CT36" s="1"/>
      <c r="CU36" s="1"/>
      <c r="CV36" s="1"/>
      <c r="XP36" s="7"/>
    </row>
    <row r="37" spans="1:640" ht="18" customHeight="1" x14ac:dyDescent="0.3">
      <c r="A37" s="8"/>
      <c r="B37" s="1"/>
      <c r="C37" s="1"/>
      <c r="D37" s="1"/>
      <c r="E37" s="1"/>
      <c r="F37" s="1"/>
      <c r="G37" s="1"/>
      <c r="H37" s="1"/>
      <c r="I37" s="1"/>
      <c r="J37" s="1"/>
      <c r="AC37" s="1"/>
      <c r="AD37" s="1"/>
      <c r="AP37" s="1"/>
      <c r="AQ37" s="1"/>
      <c r="AU37" s="1"/>
      <c r="AY37" s="1"/>
      <c r="AZ37" s="1"/>
      <c r="BC37" s="1"/>
      <c r="BD37" s="1"/>
      <c r="BH37" s="1"/>
      <c r="BL37" s="1"/>
      <c r="BM37" s="1"/>
      <c r="XP37" s="7"/>
    </row>
    <row r="38" spans="1:640" ht="18" customHeight="1" x14ac:dyDescent="0.3">
      <c r="A38" s="8"/>
      <c r="AQ38" s="1"/>
      <c r="AR38" s="1"/>
      <c r="AS38" s="1">
        <v>5</v>
      </c>
      <c r="AT38" s="1"/>
      <c r="AU38" s="1"/>
      <c r="AV38" s="1"/>
      <c r="AW38" s="1">
        <v>4</v>
      </c>
      <c r="AX38" s="1"/>
      <c r="AY38" s="1"/>
      <c r="BD38" s="1"/>
      <c r="BE38" s="1"/>
      <c r="BF38" s="1"/>
      <c r="BG38" s="1"/>
      <c r="BH38" s="1"/>
      <c r="BI38" s="1"/>
      <c r="BJ38" s="1"/>
      <c r="BK38" s="1"/>
      <c r="BL38" s="1"/>
      <c r="XP38" s="7"/>
    </row>
    <row r="39" spans="1:640" ht="18" customHeight="1" x14ac:dyDescent="0.3">
      <c r="A39" s="8"/>
      <c r="XP39" s="7"/>
    </row>
    <row r="40" spans="1:640" ht="18" customHeight="1" x14ac:dyDescent="0.3">
      <c r="A40" s="8"/>
      <c r="XP40" s="7"/>
    </row>
    <row r="41" spans="1:640" ht="18" customHeight="1" x14ac:dyDescent="0.3">
      <c r="A41" s="8"/>
      <c r="P41" s="1"/>
      <c r="Q41" s="1"/>
      <c r="R41" s="1"/>
      <c r="S41" s="1"/>
      <c r="T41" s="1"/>
      <c r="U41" s="1"/>
      <c r="V41" s="1"/>
      <c r="W41" s="1"/>
      <c r="X41" s="1"/>
      <c r="XP41" s="7"/>
    </row>
    <row r="42" spans="1:640" ht="18" customHeight="1" x14ac:dyDescent="0.3">
      <c r="A42" s="8"/>
      <c r="O42" s="1"/>
      <c r="P42" s="1"/>
      <c r="T42" s="1"/>
      <c r="X42" s="1"/>
      <c r="Y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XP42" s="7"/>
    </row>
    <row r="43" spans="1:640" ht="18" customHeight="1" x14ac:dyDescent="0.3">
      <c r="A43" s="8"/>
      <c r="O43" s="1"/>
      <c r="Q43" s="1"/>
      <c r="T43" s="1"/>
      <c r="W43" s="1"/>
      <c r="Y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XP43" s="7"/>
    </row>
    <row r="44" spans="1:640" ht="18" customHeight="1" x14ac:dyDescent="0.3">
      <c r="A44" s="8"/>
      <c r="O44" s="1"/>
      <c r="Q44" s="1"/>
      <c r="T44" s="1"/>
      <c r="W44" s="1"/>
      <c r="Y44" s="1"/>
      <c r="AP44" s="1"/>
      <c r="AQ44" s="1"/>
      <c r="AR44" s="1"/>
      <c r="AS44" s="1"/>
      <c r="AZ44" s="1"/>
      <c r="BA44" s="1"/>
      <c r="BH44" s="1"/>
      <c r="BI44" s="1"/>
      <c r="BJ44" s="1"/>
      <c r="BK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XP44" s="7"/>
    </row>
    <row r="45" spans="1:640" ht="18" customHeight="1" x14ac:dyDescent="0.3">
      <c r="A45" s="8"/>
      <c r="O45" s="1"/>
      <c r="Q45" s="1"/>
      <c r="T45" s="1"/>
      <c r="W45" s="1"/>
      <c r="Y45" s="1"/>
      <c r="AP45" s="1"/>
      <c r="AQ45" s="1"/>
      <c r="AR45" s="1"/>
      <c r="AS45" s="1"/>
      <c r="AZ45" s="1"/>
      <c r="BA45" s="1"/>
      <c r="BH45" s="1"/>
      <c r="BI45" s="1"/>
      <c r="BJ45" s="1"/>
      <c r="BK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XP45" s="7"/>
    </row>
    <row r="46" spans="1:640" ht="18" customHeight="1" x14ac:dyDescent="0.3">
      <c r="A46" s="8"/>
      <c r="O46" s="1"/>
      <c r="R46" s="1"/>
      <c r="T46" s="1"/>
      <c r="V46" s="1"/>
      <c r="Y46" s="1"/>
      <c r="AP46" s="1"/>
      <c r="AQ46" s="1"/>
      <c r="AT46" s="1"/>
      <c r="AU46" s="1"/>
      <c r="AZ46" s="1"/>
      <c r="BA46" s="1"/>
      <c r="BF46" s="1"/>
      <c r="BG46" s="1"/>
      <c r="BJ46" s="1"/>
      <c r="BK46" s="1"/>
      <c r="BQ46" s="1"/>
      <c r="BR46" s="1"/>
      <c r="BS46" s="1"/>
      <c r="BT46" s="1"/>
      <c r="BU46" s="1"/>
      <c r="BV46" s="1"/>
      <c r="BW46" s="1"/>
      <c r="BX46" s="1"/>
      <c r="CK46" s="1"/>
      <c r="CL46" s="1"/>
      <c r="CM46" s="1"/>
      <c r="CN46" s="1"/>
      <c r="DA46" s="1"/>
      <c r="DB46" s="1"/>
      <c r="DC46" s="1"/>
      <c r="DD46" s="1"/>
      <c r="DE46" s="1"/>
      <c r="DF46" s="1"/>
      <c r="DG46" s="1"/>
      <c r="DH46" s="1"/>
      <c r="XP46" s="7"/>
    </row>
    <row r="47" spans="1:640" ht="18" customHeight="1" x14ac:dyDescent="0.3">
      <c r="A47" s="8"/>
      <c r="O47" s="1"/>
      <c r="R47" s="1"/>
      <c r="T47" s="1"/>
      <c r="V47" s="1"/>
      <c r="Y47" s="1"/>
      <c r="AP47" s="1"/>
      <c r="AQ47" s="1"/>
      <c r="AT47" s="1"/>
      <c r="AU47" s="1"/>
      <c r="AZ47" s="1"/>
      <c r="BA47" s="1"/>
      <c r="BF47" s="1"/>
      <c r="BG47" s="1"/>
      <c r="BJ47" s="1"/>
      <c r="BK47" s="1"/>
      <c r="BQ47" s="1"/>
      <c r="BR47" s="1"/>
      <c r="BS47" s="1"/>
      <c r="BT47" s="1"/>
      <c r="BU47" s="1"/>
      <c r="BV47" s="1"/>
      <c r="BW47" s="1"/>
      <c r="BX47" s="1"/>
      <c r="CK47" s="1"/>
      <c r="CL47" s="1"/>
      <c r="CM47" s="1"/>
      <c r="CN47" s="1"/>
      <c r="DA47" s="1"/>
      <c r="DB47" s="1"/>
      <c r="DC47" s="1"/>
      <c r="DD47" s="1"/>
      <c r="DE47" s="1"/>
      <c r="DF47" s="1"/>
      <c r="DG47" s="1"/>
      <c r="DH47" s="1"/>
      <c r="XP47" s="7"/>
    </row>
    <row r="48" spans="1:640" ht="18" customHeight="1" x14ac:dyDescent="0.3">
      <c r="A48" s="8"/>
      <c r="O48" s="1"/>
      <c r="S48" s="1"/>
      <c r="T48" s="1"/>
      <c r="U48" s="1"/>
      <c r="Y48" s="1"/>
      <c r="AP48" s="1"/>
      <c r="AQ48" s="1"/>
      <c r="AT48" s="1"/>
      <c r="AU48" s="1"/>
      <c r="AZ48" s="1"/>
      <c r="BA48" s="1"/>
      <c r="BF48" s="1"/>
      <c r="BG48" s="1"/>
      <c r="BJ48" s="1"/>
      <c r="BK48" s="1"/>
      <c r="BQ48" s="1"/>
      <c r="BR48" s="1"/>
      <c r="BS48" s="1"/>
      <c r="BT48" s="1"/>
      <c r="BU48" s="1"/>
      <c r="BV48" s="1"/>
      <c r="BW48" s="1"/>
      <c r="BX48" s="1"/>
      <c r="CK48" s="1"/>
      <c r="CL48" s="1"/>
      <c r="CM48" s="1"/>
      <c r="CN48" s="1"/>
      <c r="DA48" s="1"/>
      <c r="DB48" s="1"/>
      <c r="DC48" s="1"/>
      <c r="DD48" s="1"/>
      <c r="DE48" s="1"/>
      <c r="DF48" s="1"/>
      <c r="DG48" s="1"/>
      <c r="DH48" s="1"/>
      <c r="XP48" s="7"/>
    </row>
    <row r="49" spans="1:640" ht="18" customHeight="1" x14ac:dyDescent="0.3">
      <c r="A49" s="8"/>
      <c r="P49" s="1"/>
      <c r="Q49" s="1"/>
      <c r="R49" s="1"/>
      <c r="S49" s="1"/>
      <c r="T49" s="1"/>
      <c r="U49" s="1"/>
      <c r="V49" s="1"/>
      <c r="W49" s="1"/>
      <c r="X49" s="1"/>
      <c r="AP49" s="1"/>
      <c r="AQ49" s="1"/>
      <c r="AT49" s="1"/>
      <c r="AU49" s="1"/>
      <c r="AZ49" s="1"/>
      <c r="BA49" s="1"/>
      <c r="BF49" s="1"/>
      <c r="BG49" s="1"/>
      <c r="BJ49" s="1"/>
      <c r="BK49" s="1"/>
      <c r="BQ49" s="1"/>
      <c r="BR49" s="1"/>
      <c r="BS49" s="1"/>
      <c r="BT49" s="1"/>
      <c r="BU49" s="1"/>
      <c r="BV49" s="1"/>
      <c r="BW49" s="1"/>
      <c r="BX49" s="1"/>
      <c r="CK49" s="1"/>
      <c r="CL49" s="1"/>
      <c r="CM49" s="1"/>
      <c r="CN49" s="1"/>
      <c r="DA49" s="1"/>
      <c r="DB49" s="1"/>
      <c r="DC49" s="1"/>
      <c r="DD49" s="1"/>
      <c r="DE49" s="1"/>
      <c r="DF49" s="1"/>
      <c r="DG49" s="1"/>
      <c r="DH49" s="1"/>
      <c r="XP49" s="7"/>
    </row>
    <row r="50" spans="1:640" ht="18" customHeight="1" x14ac:dyDescent="0.3">
      <c r="A50" s="8"/>
      <c r="O50" s="1"/>
      <c r="S50" s="1"/>
      <c r="T50" s="1"/>
      <c r="U50" s="1"/>
      <c r="Y50" s="1"/>
      <c r="AP50" s="1"/>
      <c r="AQ50" s="1"/>
      <c r="AT50" s="1"/>
      <c r="AU50" s="1"/>
      <c r="AZ50" s="1"/>
      <c r="BA50" s="1"/>
      <c r="BF50" s="1"/>
      <c r="BG50" s="1"/>
      <c r="BJ50" s="1"/>
      <c r="BK50" s="1"/>
      <c r="BQ50" s="1"/>
      <c r="BR50" s="1"/>
      <c r="BS50" s="1"/>
      <c r="BT50" s="1"/>
      <c r="BY50" s="1"/>
      <c r="BZ50" s="1"/>
      <c r="CA50" s="1"/>
      <c r="CB50" s="1"/>
      <c r="CK50" s="1"/>
      <c r="CL50" s="1"/>
      <c r="CM50" s="1"/>
      <c r="CN50" s="1"/>
      <c r="CW50" s="1"/>
      <c r="CX50" s="1"/>
      <c r="CY50" s="1"/>
      <c r="CZ50" s="1"/>
      <c r="DE50" s="1"/>
      <c r="DF50" s="1"/>
      <c r="DG50" s="1"/>
      <c r="DH50" s="1"/>
      <c r="XP50" s="7"/>
    </row>
    <row r="51" spans="1:640" ht="18" customHeight="1" x14ac:dyDescent="0.3">
      <c r="A51" s="8"/>
      <c r="O51" s="1"/>
      <c r="R51" s="1"/>
      <c r="T51" s="1"/>
      <c r="V51" s="1"/>
      <c r="Y51" s="1"/>
      <c r="AP51" s="1"/>
      <c r="AQ51" s="1"/>
      <c r="AT51" s="1"/>
      <c r="AU51" s="1"/>
      <c r="AZ51" s="1"/>
      <c r="BA51" s="1"/>
      <c r="BF51" s="1"/>
      <c r="BG51" s="1"/>
      <c r="BJ51" s="1"/>
      <c r="BK51" s="1"/>
      <c r="BQ51" s="1"/>
      <c r="BR51" s="1"/>
      <c r="BS51" s="1"/>
      <c r="BT51" s="1"/>
      <c r="BY51" s="1"/>
      <c r="BZ51" s="1"/>
      <c r="CA51" s="1"/>
      <c r="CB51" s="1"/>
      <c r="CK51" s="1"/>
      <c r="CL51" s="1"/>
      <c r="CM51" s="1"/>
      <c r="CN51" s="1"/>
      <c r="CW51" s="1"/>
      <c r="CX51" s="1"/>
      <c r="CY51" s="1"/>
      <c r="CZ51" s="1"/>
      <c r="DE51" s="1"/>
      <c r="DF51" s="1"/>
      <c r="DG51" s="1"/>
      <c r="DH51" s="1"/>
      <c r="XP51" s="7"/>
    </row>
    <row r="52" spans="1:640" ht="18" customHeight="1" x14ac:dyDescent="0.3">
      <c r="A52" s="8"/>
      <c r="O52" s="1"/>
      <c r="R52" s="1"/>
      <c r="T52" s="1"/>
      <c r="V52" s="1"/>
      <c r="Y52" s="1"/>
      <c r="AP52" s="1"/>
      <c r="AQ52" s="1"/>
      <c r="AV52" s="1"/>
      <c r="AW52" s="1"/>
      <c r="AZ52" s="1"/>
      <c r="BA52" s="1"/>
      <c r="BD52" s="1"/>
      <c r="BE52" s="1"/>
      <c r="BJ52" s="1"/>
      <c r="BK52" s="1"/>
      <c r="BQ52" s="1"/>
      <c r="BR52" s="1"/>
      <c r="BS52" s="1"/>
      <c r="BT52" s="1"/>
      <c r="BY52" s="1"/>
      <c r="BZ52" s="1"/>
      <c r="CA52" s="1"/>
      <c r="CB52" s="1"/>
      <c r="CK52" s="1"/>
      <c r="CL52" s="1"/>
      <c r="CM52" s="1"/>
      <c r="CN52" s="1"/>
      <c r="CW52" s="1"/>
      <c r="CX52" s="1"/>
      <c r="CY52" s="1"/>
      <c r="CZ52" s="1"/>
      <c r="DE52" s="1"/>
      <c r="DF52" s="1"/>
      <c r="DG52" s="1"/>
      <c r="DH52" s="1"/>
      <c r="XP52" s="7"/>
    </row>
    <row r="53" spans="1:640" ht="18" customHeight="1" x14ac:dyDescent="0.3">
      <c r="A53" s="8"/>
      <c r="O53" s="1"/>
      <c r="Q53" s="1"/>
      <c r="T53" s="1"/>
      <c r="W53" s="1"/>
      <c r="Y53" s="1"/>
      <c r="AP53" s="1"/>
      <c r="AQ53" s="1"/>
      <c r="AV53" s="1"/>
      <c r="AW53" s="1"/>
      <c r="AZ53" s="1"/>
      <c r="BA53" s="1"/>
      <c r="BD53" s="1"/>
      <c r="BE53" s="1"/>
      <c r="BJ53" s="1"/>
      <c r="BK53" s="1"/>
      <c r="BQ53" s="1"/>
      <c r="BR53" s="1"/>
      <c r="BS53" s="1"/>
      <c r="BT53" s="1"/>
      <c r="BY53" s="1"/>
      <c r="BZ53" s="1"/>
      <c r="CA53" s="1"/>
      <c r="CB53" s="1"/>
      <c r="CK53" s="1"/>
      <c r="CL53" s="1"/>
      <c r="CM53" s="1"/>
      <c r="CN53" s="1"/>
      <c r="CW53" s="1"/>
      <c r="CX53" s="1"/>
      <c r="CY53" s="1"/>
      <c r="CZ53" s="1"/>
      <c r="DE53" s="1"/>
      <c r="DF53" s="1"/>
      <c r="DG53" s="1"/>
      <c r="DH53" s="1"/>
      <c r="XP53" s="7"/>
    </row>
    <row r="54" spans="1:640" ht="18" customHeight="1" x14ac:dyDescent="0.3">
      <c r="A54" s="8"/>
      <c r="O54" s="1"/>
      <c r="Q54" s="1"/>
      <c r="T54" s="1"/>
      <c r="W54" s="1"/>
      <c r="Y54" s="1"/>
      <c r="AP54" s="1"/>
      <c r="AQ54" s="1"/>
      <c r="AV54" s="1"/>
      <c r="AW54" s="1"/>
      <c r="AZ54" s="1"/>
      <c r="BA54" s="1"/>
      <c r="BD54" s="1"/>
      <c r="BE54" s="1"/>
      <c r="BJ54" s="1"/>
      <c r="BK54" s="1"/>
      <c r="BQ54" s="1"/>
      <c r="BR54" s="1"/>
      <c r="BS54" s="1"/>
      <c r="BT54" s="1"/>
      <c r="BY54" s="1"/>
      <c r="BZ54" s="1"/>
      <c r="CA54" s="1"/>
      <c r="CB54" s="1"/>
      <c r="CK54" s="1"/>
      <c r="CL54" s="1"/>
      <c r="CM54" s="1"/>
      <c r="CN54" s="1"/>
      <c r="CW54" s="1"/>
      <c r="CX54" s="1"/>
      <c r="CY54" s="1"/>
      <c r="CZ54" s="1"/>
      <c r="DE54" s="1"/>
      <c r="DF54" s="1"/>
      <c r="DG54" s="1"/>
      <c r="DH54" s="1"/>
      <c r="XP54" s="7"/>
    </row>
    <row r="55" spans="1:640" ht="18" customHeight="1" x14ac:dyDescent="0.3">
      <c r="A55" s="8"/>
      <c r="O55" s="1"/>
      <c r="Q55" s="1"/>
      <c r="T55" s="1"/>
      <c r="W55" s="1"/>
      <c r="Y55" s="1"/>
      <c r="AP55" s="1"/>
      <c r="AQ55" s="1"/>
      <c r="AV55" s="1"/>
      <c r="AW55" s="1"/>
      <c r="AZ55" s="1"/>
      <c r="BA55" s="1"/>
      <c r="BD55" s="1"/>
      <c r="BE55" s="1"/>
      <c r="BJ55" s="1"/>
      <c r="BK55" s="1"/>
      <c r="BQ55" s="1"/>
      <c r="BR55" s="1"/>
      <c r="BS55" s="1"/>
      <c r="BT55" s="1"/>
      <c r="BY55" s="1"/>
      <c r="BZ55" s="1"/>
      <c r="CA55" s="1"/>
      <c r="CB55" s="1"/>
      <c r="CK55" s="1"/>
      <c r="CL55" s="1"/>
      <c r="CM55" s="1"/>
      <c r="CN55" s="1"/>
      <c r="CW55" s="1"/>
      <c r="CX55" s="1"/>
      <c r="CY55" s="1"/>
      <c r="CZ55" s="1"/>
      <c r="DE55" s="1"/>
      <c r="DF55" s="1"/>
      <c r="DG55" s="1"/>
      <c r="DH55" s="1"/>
      <c r="XP55" s="7"/>
    </row>
    <row r="56" spans="1:640" ht="18" customHeight="1" x14ac:dyDescent="0.3">
      <c r="A56" s="8"/>
      <c r="O56" s="1"/>
      <c r="P56" s="1"/>
      <c r="T56" s="1"/>
      <c r="X56" s="1"/>
      <c r="Y56" s="1"/>
      <c r="AP56" s="1"/>
      <c r="AQ56" s="1"/>
      <c r="AX56" s="1"/>
      <c r="AY56" s="1"/>
      <c r="AZ56" s="1"/>
      <c r="BA56" s="1"/>
      <c r="BB56" s="1"/>
      <c r="BC56" s="1"/>
      <c r="BJ56" s="1"/>
      <c r="BK56" s="1"/>
      <c r="BQ56" s="1"/>
      <c r="BR56" s="1"/>
      <c r="BS56" s="1"/>
      <c r="BT56" s="1"/>
      <c r="BY56" s="1"/>
      <c r="BZ56" s="1"/>
      <c r="CA56" s="1"/>
      <c r="CB56" s="1"/>
      <c r="CK56" s="1"/>
      <c r="CL56" s="1"/>
      <c r="CM56" s="1"/>
      <c r="CN56" s="1"/>
      <c r="CW56" s="1"/>
      <c r="CX56" s="1"/>
      <c r="CY56" s="1"/>
      <c r="CZ56" s="1"/>
      <c r="DE56" s="1"/>
      <c r="DF56" s="1"/>
      <c r="DG56" s="1"/>
      <c r="DH56" s="1"/>
      <c r="XP56" s="7"/>
    </row>
    <row r="57" spans="1:640" ht="18" customHeight="1" x14ac:dyDescent="0.3">
      <c r="A57" s="8"/>
      <c r="P57" s="1"/>
      <c r="Q57" s="1"/>
      <c r="R57" s="1"/>
      <c r="S57" s="1"/>
      <c r="T57" s="1"/>
      <c r="U57" s="1"/>
      <c r="V57" s="1"/>
      <c r="W57" s="1"/>
      <c r="X57" s="1"/>
      <c r="AP57" s="1"/>
      <c r="AQ57" s="1"/>
      <c r="AX57" s="1"/>
      <c r="AY57" s="1"/>
      <c r="AZ57" s="1"/>
      <c r="BA57" s="1"/>
      <c r="BB57" s="1"/>
      <c r="BC57" s="1"/>
      <c r="BJ57" s="1"/>
      <c r="BK57" s="1"/>
      <c r="BQ57" s="1"/>
      <c r="BR57" s="1"/>
      <c r="BS57" s="1"/>
      <c r="BT57" s="1"/>
      <c r="BY57" s="1"/>
      <c r="BZ57" s="1"/>
      <c r="CA57" s="1"/>
      <c r="CB57" s="1"/>
      <c r="CK57" s="1"/>
      <c r="CL57" s="1"/>
      <c r="CM57" s="1"/>
      <c r="CN57" s="1"/>
      <c r="CW57" s="1"/>
      <c r="CX57" s="1"/>
      <c r="CY57" s="1"/>
      <c r="CZ57" s="1"/>
      <c r="DE57" s="1"/>
      <c r="DF57" s="1"/>
      <c r="DG57" s="1"/>
      <c r="DH57" s="1"/>
      <c r="XP57" s="7"/>
    </row>
    <row r="58" spans="1:640" ht="18" customHeight="1" x14ac:dyDescent="0.3">
      <c r="A58" s="8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Q58" s="1"/>
      <c r="BR58" s="1"/>
      <c r="BS58" s="1"/>
      <c r="BT58" s="1"/>
      <c r="CC58" s="1"/>
      <c r="CD58" s="1"/>
      <c r="CE58" s="1"/>
      <c r="CF58" s="1"/>
      <c r="CK58" s="1"/>
      <c r="CL58" s="1"/>
      <c r="CM58" s="1"/>
      <c r="CN58" s="1"/>
      <c r="CS58" s="1"/>
      <c r="CT58" s="1"/>
      <c r="CU58" s="1"/>
      <c r="CV58" s="1"/>
      <c r="DE58" s="1"/>
      <c r="DF58" s="1"/>
      <c r="DG58" s="1"/>
      <c r="DH58" s="1"/>
      <c r="XP58" s="7"/>
    </row>
    <row r="59" spans="1:640" ht="18" customHeight="1" x14ac:dyDescent="0.3">
      <c r="A59" s="8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Q59" s="1"/>
      <c r="BR59" s="1"/>
      <c r="BS59" s="1"/>
      <c r="BT59" s="1"/>
      <c r="CC59" s="1"/>
      <c r="CD59" s="1"/>
      <c r="CE59" s="1"/>
      <c r="CF59" s="1"/>
      <c r="CK59" s="1"/>
      <c r="CL59" s="1"/>
      <c r="CM59" s="1"/>
      <c r="CN59" s="1"/>
      <c r="CS59" s="1"/>
      <c r="CT59" s="1"/>
      <c r="CU59" s="1"/>
      <c r="CV59" s="1"/>
      <c r="DE59" s="1"/>
      <c r="DF59" s="1"/>
      <c r="DG59" s="1"/>
      <c r="DH59" s="1"/>
      <c r="XP59" s="7"/>
    </row>
    <row r="60" spans="1:640" ht="18" customHeight="1" x14ac:dyDescent="0.3">
      <c r="A60" s="8"/>
      <c r="AP60" s="1"/>
      <c r="AQ60" s="1"/>
      <c r="AX60" s="1"/>
      <c r="AY60" s="1"/>
      <c r="AZ60" s="1"/>
      <c r="BA60" s="1"/>
      <c r="BB60" s="1"/>
      <c r="BC60" s="1"/>
      <c r="BJ60" s="1"/>
      <c r="BK60" s="1"/>
      <c r="BQ60" s="1"/>
      <c r="BR60" s="1"/>
      <c r="BS60" s="1"/>
      <c r="BT60" s="1"/>
      <c r="CC60" s="1"/>
      <c r="CD60" s="1"/>
      <c r="CE60" s="1"/>
      <c r="CF60" s="1"/>
      <c r="CK60" s="1"/>
      <c r="CL60" s="1"/>
      <c r="CM60" s="1"/>
      <c r="CN60" s="1"/>
      <c r="CS60" s="1"/>
      <c r="CT60" s="1"/>
      <c r="CU60" s="1"/>
      <c r="CV60" s="1"/>
      <c r="DE60" s="1"/>
      <c r="DF60" s="1"/>
      <c r="DG60" s="1"/>
      <c r="DH60" s="1"/>
      <c r="XP60" s="7"/>
    </row>
    <row r="61" spans="1:640" ht="18" customHeight="1" x14ac:dyDescent="0.3">
      <c r="A61" s="8"/>
      <c r="AP61" s="1"/>
      <c r="AQ61" s="1"/>
      <c r="AX61" s="1"/>
      <c r="AY61" s="1"/>
      <c r="AZ61" s="1"/>
      <c r="BA61" s="1"/>
      <c r="BB61" s="1"/>
      <c r="BC61" s="1"/>
      <c r="BJ61" s="1"/>
      <c r="BK61" s="1"/>
      <c r="BQ61" s="1"/>
      <c r="BR61" s="1"/>
      <c r="BS61" s="1"/>
      <c r="BT61" s="1"/>
      <c r="CC61" s="1"/>
      <c r="CD61" s="1"/>
      <c r="CE61" s="1"/>
      <c r="CF61" s="1"/>
      <c r="CK61" s="1"/>
      <c r="CL61" s="1"/>
      <c r="CM61" s="1"/>
      <c r="CN61" s="1"/>
      <c r="CS61" s="1"/>
      <c r="CT61" s="1"/>
      <c r="CU61" s="1"/>
      <c r="CV61" s="1"/>
      <c r="DE61" s="1"/>
      <c r="DF61" s="1"/>
      <c r="DG61" s="1"/>
      <c r="DH61" s="1"/>
      <c r="XP61" s="7"/>
    </row>
    <row r="62" spans="1:640" ht="18" customHeight="1" x14ac:dyDescent="0.3">
      <c r="A62" s="8"/>
      <c r="AP62" s="1"/>
      <c r="AQ62" s="1"/>
      <c r="AV62" s="1"/>
      <c r="AW62" s="1"/>
      <c r="AZ62" s="1"/>
      <c r="BA62" s="1"/>
      <c r="BD62" s="1"/>
      <c r="BE62" s="1"/>
      <c r="BJ62" s="1"/>
      <c r="BK62" s="1"/>
      <c r="BQ62" s="1"/>
      <c r="BR62" s="1"/>
      <c r="BS62" s="1"/>
      <c r="BT62" s="1"/>
      <c r="CC62" s="1"/>
      <c r="CD62" s="1"/>
      <c r="CE62" s="1"/>
      <c r="CF62" s="1"/>
      <c r="CK62" s="1"/>
      <c r="CL62" s="1"/>
      <c r="CM62" s="1"/>
      <c r="CN62" s="1"/>
      <c r="CS62" s="1"/>
      <c r="CT62" s="1"/>
      <c r="CU62" s="1"/>
      <c r="CV62" s="1"/>
      <c r="DE62" s="1"/>
      <c r="DF62" s="1"/>
      <c r="DG62" s="1"/>
      <c r="DH62" s="1"/>
      <c r="XP62" s="7"/>
    </row>
    <row r="63" spans="1:640" ht="18" customHeight="1" x14ac:dyDescent="0.3">
      <c r="A63" s="8"/>
      <c r="AP63" s="1"/>
      <c r="AQ63" s="1"/>
      <c r="AV63" s="1"/>
      <c r="AW63" s="1"/>
      <c r="AZ63" s="1"/>
      <c r="BA63" s="1"/>
      <c r="BD63" s="1"/>
      <c r="BE63" s="1"/>
      <c r="BJ63" s="1"/>
      <c r="BK63" s="1"/>
      <c r="BQ63" s="1"/>
      <c r="BR63" s="1"/>
      <c r="BS63" s="1"/>
      <c r="BT63" s="1"/>
      <c r="CC63" s="1"/>
      <c r="CD63" s="1"/>
      <c r="CE63" s="1"/>
      <c r="CF63" s="1"/>
      <c r="CK63" s="1"/>
      <c r="CL63" s="1"/>
      <c r="CM63" s="1"/>
      <c r="CN63" s="1"/>
      <c r="CS63" s="1"/>
      <c r="CT63" s="1"/>
      <c r="CU63" s="1"/>
      <c r="CV63" s="1"/>
      <c r="DE63" s="1"/>
      <c r="DF63" s="1"/>
      <c r="DG63" s="1"/>
      <c r="DH63" s="1"/>
      <c r="XP63" s="7"/>
    </row>
    <row r="64" spans="1:640" ht="18" customHeight="1" x14ac:dyDescent="0.3">
      <c r="A64" s="8"/>
      <c r="AP64" s="1"/>
      <c r="AQ64" s="1"/>
      <c r="AV64" s="1"/>
      <c r="AW64" s="1"/>
      <c r="AZ64" s="1"/>
      <c r="BA64" s="1"/>
      <c r="BD64" s="1"/>
      <c r="BE64" s="1"/>
      <c r="BJ64" s="1"/>
      <c r="BK64" s="1"/>
      <c r="BQ64" s="1"/>
      <c r="BR64" s="1"/>
      <c r="BS64" s="1"/>
      <c r="BT64" s="1"/>
      <c r="CC64" s="1"/>
      <c r="CD64" s="1"/>
      <c r="CE64" s="1"/>
      <c r="CF64" s="1"/>
      <c r="CK64" s="1"/>
      <c r="CL64" s="1"/>
      <c r="CM64" s="1"/>
      <c r="CN64" s="1"/>
      <c r="CS64" s="1"/>
      <c r="CT64" s="1"/>
      <c r="CU64" s="1"/>
      <c r="CV64" s="1"/>
      <c r="DE64" s="1"/>
      <c r="DF64" s="1"/>
      <c r="DG64" s="1"/>
      <c r="DH64" s="1"/>
      <c r="XP64" s="7"/>
    </row>
    <row r="65" spans="1:640" ht="18" customHeight="1" x14ac:dyDescent="0.3">
      <c r="A65" s="8"/>
      <c r="AP65" s="1"/>
      <c r="AQ65" s="1"/>
      <c r="AV65" s="1"/>
      <c r="AW65" s="1"/>
      <c r="AZ65" s="1"/>
      <c r="BA65" s="1"/>
      <c r="BD65" s="1"/>
      <c r="BE65" s="1"/>
      <c r="BJ65" s="1"/>
      <c r="BK65" s="1"/>
      <c r="BQ65" s="1"/>
      <c r="BR65" s="1"/>
      <c r="BS65" s="1"/>
      <c r="BT65" s="1"/>
      <c r="CC65" s="1"/>
      <c r="CD65" s="1"/>
      <c r="CE65" s="1"/>
      <c r="CF65" s="1"/>
      <c r="CK65" s="1"/>
      <c r="CL65" s="1"/>
      <c r="CM65" s="1"/>
      <c r="CN65" s="1"/>
      <c r="CS65" s="1"/>
      <c r="CT65" s="1"/>
      <c r="CU65" s="1"/>
      <c r="CV65" s="1"/>
      <c r="DE65" s="1"/>
      <c r="DF65" s="1"/>
      <c r="DG65" s="1"/>
      <c r="DH65" s="1"/>
      <c r="XP65" s="7"/>
    </row>
    <row r="66" spans="1:640" ht="18" customHeight="1" x14ac:dyDescent="0.3">
      <c r="A66" s="8"/>
      <c r="AP66" s="1"/>
      <c r="AQ66" s="1"/>
      <c r="AV66" s="1"/>
      <c r="AW66" s="1"/>
      <c r="AZ66" s="1"/>
      <c r="BA66" s="1"/>
      <c r="BD66" s="1"/>
      <c r="BE66" s="1"/>
      <c r="BJ66" s="1"/>
      <c r="BK66" s="1"/>
      <c r="BQ66" s="1"/>
      <c r="BR66" s="1"/>
      <c r="BS66" s="1"/>
      <c r="BT66" s="1"/>
      <c r="CC66" s="1"/>
      <c r="CD66" s="1"/>
      <c r="CE66" s="1"/>
      <c r="CF66" s="1"/>
      <c r="CK66" s="1"/>
      <c r="CL66" s="1"/>
      <c r="CM66" s="1"/>
      <c r="CN66" s="1"/>
      <c r="CS66" s="1"/>
      <c r="CT66" s="1"/>
      <c r="CU66" s="1"/>
      <c r="CV66" s="1"/>
      <c r="DE66" s="1"/>
      <c r="DF66" s="1"/>
      <c r="DG66" s="1"/>
      <c r="DH66" s="1"/>
      <c r="XP66" s="7"/>
    </row>
    <row r="67" spans="1:640" ht="18" customHeight="1" x14ac:dyDescent="0.3">
      <c r="A67" s="8"/>
      <c r="AP67" s="1"/>
      <c r="AQ67" s="1"/>
      <c r="AV67" s="1"/>
      <c r="AW67" s="1"/>
      <c r="AZ67" s="1"/>
      <c r="BA67" s="1"/>
      <c r="BD67" s="1"/>
      <c r="BE67" s="1"/>
      <c r="BJ67" s="1"/>
      <c r="BK67" s="1"/>
      <c r="BQ67" s="1"/>
      <c r="BR67" s="1"/>
      <c r="BS67" s="1"/>
      <c r="BT67" s="1"/>
      <c r="CC67" s="1"/>
      <c r="CD67" s="1"/>
      <c r="CE67" s="1"/>
      <c r="CF67" s="1"/>
      <c r="CK67" s="1"/>
      <c r="CL67" s="1"/>
      <c r="CM67" s="1"/>
      <c r="CN67" s="1"/>
      <c r="CS67" s="1"/>
      <c r="CT67" s="1"/>
      <c r="CU67" s="1"/>
      <c r="CV67" s="1"/>
      <c r="DE67" s="1"/>
      <c r="DF67" s="1"/>
      <c r="DG67" s="1"/>
      <c r="DH67" s="1"/>
      <c r="XP67" s="7"/>
    </row>
    <row r="68" spans="1:640" ht="18" customHeight="1" x14ac:dyDescent="0.3">
      <c r="A68" s="8"/>
      <c r="AP68" s="1"/>
      <c r="AQ68" s="1"/>
      <c r="AT68" s="1"/>
      <c r="AU68" s="1"/>
      <c r="AZ68" s="1"/>
      <c r="BA68" s="1"/>
      <c r="BF68" s="1"/>
      <c r="BG68" s="1"/>
      <c r="BJ68" s="1"/>
      <c r="BK68" s="1"/>
      <c r="BQ68" s="1"/>
      <c r="BR68" s="1"/>
      <c r="BS68" s="1"/>
      <c r="BT68" s="1"/>
      <c r="CC68" s="1"/>
      <c r="CD68" s="1"/>
      <c r="CE68" s="1"/>
      <c r="CF68" s="1"/>
      <c r="CK68" s="1"/>
      <c r="CL68" s="1"/>
      <c r="CM68" s="1"/>
      <c r="CN68" s="1"/>
      <c r="CS68" s="1"/>
      <c r="CT68" s="1"/>
      <c r="CU68" s="1"/>
      <c r="CV68" s="1"/>
      <c r="DE68" s="1"/>
      <c r="DF68" s="1"/>
      <c r="DG68" s="1"/>
      <c r="DH68" s="1"/>
      <c r="XP68" s="7"/>
    </row>
    <row r="69" spans="1:640" ht="18" customHeight="1" x14ac:dyDescent="0.3">
      <c r="A69" s="8"/>
      <c r="AP69" s="1"/>
      <c r="AQ69" s="1"/>
      <c r="AT69" s="1"/>
      <c r="AU69" s="1"/>
      <c r="AZ69" s="1"/>
      <c r="BA69" s="1"/>
      <c r="BF69" s="1"/>
      <c r="BG69" s="1"/>
      <c r="BJ69" s="1"/>
      <c r="BK69" s="1"/>
      <c r="BQ69" s="1"/>
      <c r="BR69" s="1"/>
      <c r="BS69" s="1"/>
      <c r="BT69" s="1"/>
      <c r="CC69" s="1"/>
      <c r="CD69" s="1"/>
      <c r="CE69" s="1"/>
      <c r="CF69" s="1"/>
      <c r="CK69" s="1"/>
      <c r="CL69" s="1"/>
      <c r="CM69" s="1"/>
      <c r="CN69" s="1"/>
      <c r="CS69" s="1"/>
      <c r="CT69" s="1"/>
      <c r="CU69" s="1"/>
      <c r="CV69" s="1"/>
      <c r="DE69" s="1"/>
      <c r="DF69" s="1"/>
      <c r="DG69" s="1"/>
      <c r="DH69" s="1"/>
      <c r="XP69" s="7"/>
    </row>
    <row r="70" spans="1:640" ht="18" customHeight="1" x14ac:dyDescent="0.3">
      <c r="A70" s="8"/>
      <c r="AP70" s="1"/>
      <c r="AQ70" s="1"/>
      <c r="AT70" s="1"/>
      <c r="AU70" s="1"/>
      <c r="AZ70" s="1"/>
      <c r="BA70" s="1"/>
      <c r="BF70" s="1"/>
      <c r="BG70" s="1"/>
      <c r="BJ70" s="1"/>
      <c r="BK70" s="1"/>
      <c r="BQ70" s="1"/>
      <c r="BR70" s="1"/>
      <c r="BS70" s="1"/>
      <c r="BT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DE70" s="1"/>
      <c r="DF70" s="1"/>
      <c r="DG70" s="1"/>
      <c r="DH70" s="1"/>
      <c r="XP70" s="7"/>
    </row>
    <row r="71" spans="1:640" ht="18" customHeight="1" x14ac:dyDescent="0.3">
      <c r="A71" s="8"/>
      <c r="AP71" s="1"/>
      <c r="AQ71" s="1"/>
      <c r="AT71" s="1"/>
      <c r="AU71" s="1"/>
      <c r="AZ71" s="1"/>
      <c r="BA71" s="1"/>
      <c r="BF71" s="1"/>
      <c r="BG71" s="1"/>
      <c r="BJ71" s="1"/>
      <c r="BK71" s="1"/>
      <c r="BQ71" s="1"/>
      <c r="BR71" s="1"/>
      <c r="BS71" s="1"/>
      <c r="BT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DE71" s="1"/>
      <c r="DF71" s="1"/>
      <c r="DG71" s="1"/>
      <c r="DH71" s="1"/>
      <c r="XP71" s="7"/>
    </row>
    <row r="72" spans="1:640" ht="18" customHeight="1" x14ac:dyDescent="0.3">
      <c r="A72" s="8"/>
      <c r="AP72" s="1"/>
      <c r="AQ72" s="1"/>
      <c r="AR72" s="1"/>
      <c r="AS72" s="1"/>
      <c r="AZ72" s="1"/>
      <c r="BA72" s="1"/>
      <c r="BH72" s="1"/>
      <c r="BI72" s="1"/>
      <c r="BJ72" s="1"/>
      <c r="BK72" s="1"/>
      <c r="BQ72" s="1"/>
      <c r="BR72" s="1"/>
      <c r="BS72" s="1"/>
      <c r="BT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DE72" s="1"/>
      <c r="DF72" s="1"/>
      <c r="DG72" s="1"/>
      <c r="DH72" s="1"/>
      <c r="XP72" s="7"/>
    </row>
    <row r="73" spans="1:640" ht="18" customHeight="1" x14ac:dyDescent="0.3">
      <c r="A73" s="8"/>
      <c r="AP73" s="1"/>
      <c r="AQ73" s="1"/>
      <c r="AR73" s="1"/>
      <c r="AS73" s="1"/>
      <c r="AZ73" s="1"/>
      <c r="BA73" s="1"/>
      <c r="BH73" s="1"/>
      <c r="BI73" s="1"/>
      <c r="BJ73" s="1"/>
      <c r="BK73" s="1"/>
      <c r="BQ73" s="1"/>
      <c r="BR73" s="1"/>
      <c r="BS73" s="1"/>
      <c r="BT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DE73" s="1"/>
      <c r="DF73" s="1"/>
      <c r="DG73" s="1"/>
      <c r="DH73" s="1"/>
      <c r="XP73" s="7"/>
    </row>
    <row r="74" spans="1:640" ht="18" customHeight="1" x14ac:dyDescent="0.3">
      <c r="A74" s="8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XP74" s="7"/>
    </row>
    <row r="75" spans="1:640" ht="18" customHeight="1" x14ac:dyDescent="0.3">
      <c r="A75" s="8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XP75" s="7"/>
    </row>
    <row r="76" spans="1:640" ht="18" customHeight="1" x14ac:dyDescent="0.3">
      <c r="A76" s="8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XP76" s="7"/>
    </row>
    <row r="77" spans="1:640" ht="18" customHeight="1" x14ac:dyDescent="0.3">
      <c r="A77" s="8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XP77" s="7"/>
    </row>
    <row r="78" spans="1:640" ht="18" customHeight="1" x14ac:dyDescent="0.3">
      <c r="A78" s="8"/>
      <c r="BQ78" s="1"/>
      <c r="BR78" s="1"/>
      <c r="BS78" s="1"/>
      <c r="BT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DE78" s="1"/>
      <c r="DF78" s="1"/>
      <c r="DG78" s="1"/>
      <c r="DH78" s="1"/>
      <c r="XP78" s="7"/>
    </row>
    <row r="79" spans="1:640" ht="18" customHeight="1" x14ac:dyDescent="0.3">
      <c r="A79" s="8"/>
      <c r="BQ79" s="1"/>
      <c r="BR79" s="1"/>
      <c r="BS79" s="1"/>
      <c r="BT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DE79" s="1"/>
      <c r="DF79" s="1"/>
      <c r="DG79" s="1"/>
      <c r="DH79" s="1"/>
      <c r="XP79" s="7"/>
    </row>
    <row r="80" spans="1:640" ht="18" customHeight="1" x14ac:dyDescent="0.3">
      <c r="A80" s="8"/>
      <c r="BQ80" s="1"/>
      <c r="BR80" s="1"/>
      <c r="BS80" s="1"/>
      <c r="BT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DE80" s="1"/>
      <c r="DF80" s="1"/>
      <c r="DG80" s="1"/>
      <c r="DH80" s="1"/>
      <c r="XP80" s="7"/>
    </row>
    <row r="81" spans="1:640" ht="18" customHeight="1" x14ac:dyDescent="0.3">
      <c r="A81" s="8"/>
      <c r="BQ81" s="1"/>
      <c r="BR81" s="1"/>
      <c r="BS81" s="1"/>
      <c r="BT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DE81" s="1"/>
      <c r="DF81" s="1"/>
      <c r="DG81" s="1"/>
      <c r="DH81" s="1"/>
      <c r="XP81" s="7"/>
    </row>
    <row r="82" spans="1:640" ht="18" customHeight="1" x14ac:dyDescent="0.3">
      <c r="A82" s="8"/>
      <c r="BQ82" s="1"/>
      <c r="BR82" s="1"/>
      <c r="BS82" s="1"/>
      <c r="BT82" s="1"/>
      <c r="CC82" s="1"/>
      <c r="CD82" s="1"/>
      <c r="CE82" s="1"/>
      <c r="CF82" s="1"/>
      <c r="CK82" s="1"/>
      <c r="CL82" s="1"/>
      <c r="CM82" s="1"/>
      <c r="CN82" s="1"/>
      <c r="CS82" s="1"/>
      <c r="CT82" s="1"/>
      <c r="CU82" s="1"/>
      <c r="CV82" s="1"/>
      <c r="DE82" s="1"/>
      <c r="DF82" s="1"/>
      <c r="DG82" s="1"/>
      <c r="DH82" s="1"/>
      <c r="XP82" s="7"/>
    </row>
    <row r="83" spans="1:640" ht="18" customHeight="1" x14ac:dyDescent="0.3">
      <c r="A83" s="8"/>
      <c r="BQ83" s="1"/>
      <c r="BR83" s="1"/>
      <c r="BS83" s="1"/>
      <c r="BT83" s="1"/>
      <c r="CC83" s="1"/>
      <c r="CD83" s="1"/>
      <c r="CE83" s="1"/>
      <c r="CF83" s="1"/>
      <c r="CK83" s="1"/>
      <c r="CL83" s="1"/>
      <c r="CM83" s="1"/>
      <c r="CN83" s="1"/>
      <c r="CS83" s="1"/>
      <c r="CT83" s="1"/>
      <c r="CU83" s="1"/>
      <c r="CV83" s="1"/>
      <c r="DE83" s="1"/>
      <c r="DF83" s="1"/>
      <c r="DG83" s="1"/>
      <c r="DH83" s="1"/>
      <c r="XP83" s="7"/>
    </row>
    <row r="84" spans="1:640" ht="18" customHeight="1" x14ac:dyDescent="0.3">
      <c r="A84" s="8"/>
      <c r="BQ84" s="1"/>
      <c r="BR84" s="1"/>
      <c r="BS84" s="1"/>
      <c r="BT84" s="1"/>
      <c r="CC84" s="1"/>
      <c r="CD84" s="1"/>
      <c r="CE84" s="1"/>
      <c r="CF84" s="1"/>
      <c r="CK84" s="1"/>
      <c r="CL84" s="1"/>
      <c r="CM84" s="1"/>
      <c r="CN84" s="1"/>
      <c r="CS84" s="1"/>
      <c r="CT84" s="1"/>
      <c r="CU84" s="1"/>
      <c r="CV84" s="1"/>
      <c r="DE84" s="1"/>
      <c r="DF84" s="1"/>
      <c r="DG84" s="1"/>
      <c r="DH84" s="1"/>
      <c r="XP84" s="7"/>
    </row>
    <row r="85" spans="1:640" ht="18" customHeight="1" x14ac:dyDescent="0.3">
      <c r="A85" s="8"/>
      <c r="BQ85" s="1"/>
      <c r="BR85" s="1"/>
      <c r="BS85" s="1"/>
      <c r="BT85" s="1"/>
      <c r="CC85" s="1"/>
      <c r="CD85" s="1"/>
      <c r="CE85" s="1"/>
      <c r="CF85" s="1"/>
      <c r="CK85" s="1"/>
      <c r="CL85" s="1"/>
      <c r="CM85" s="1"/>
      <c r="CN85" s="1"/>
      <c r="CS85" s="1"/>
      <c r="CT85" s="1"/>
      <c r="CU85" s="1"/>
      <c r="CV85" s="1"/>
      <c r="DE85" s="1"/>
      <c r="DF85" s="1"/>
      <c r="DG85" s="1"/>
      <c r="DH85" s="1"/>
      <c r="XP85" s="7"/>
    </row>
    <row r="86" spans="1:640" ht="18" customHeight="1" x14ac:dyDescent="0.3">
      <c r="A86" s="8"/>
      <c r="BQ86" s="1"/>
      <c r="BR86" s="1"/>
      <c r="BS86" s="1"/>
      <c r="BT86" s="1"/>
      <c r="CC86" s="1"/>
      <c r="CD86" s="1"/>
      <c r="CE86" s="1"/>
      <c r="CF86" s="1"/>
      <c r="CK86" s="1"/>
      <c r="CL86" s="1"/>
      <c r="CM86" s="1"/>
      <c r="CN86" s="1"/>
      <c r="CS86" s="1"/>
      <c r="CT86" s="1"/>
      <c r="CU86" s="1"/>
      <c r="CV86" s="1"/>
      <c r="DE86" s="1"/>
      <c r="DF86" s="1"/>
      <c r="DG86" s="1"/>
      <c r="DH86" s="1"/>
      <c r="XP86" s="7"/>
    </row>
    <row r="87" spans="1:640" ht="18" customHeight="1" x14ac:dyDescent="0.3">
      <c r="A87" s="8"/>
      <c r="BQ87" s="1"/>
      <c r="BR87" s="1"/>
      <c r="BS87" s="1"/>
      <c r="BT87" s="1"/>
      <c r="CC87" s="1"/>
      <c r="CD87" s="1"/>
      <c r="CE87" s="1"/>
      <c r="CF87" s="1"/>
      <c r="CK87" s="1"/>
      <c r="CL87" s="1"/>
      <c r="CM87" s="1"/>
      <c r="CN87" s="1"/>
      <c r="CS87" s="1"/>
      <c r="CT87" s="1"/>
      <c r="CU87" s="1"/>
      <c r="CV87" s="1"/>
      <c r="DE87" s="1"/>
      <c r="DF87" s="1"/>
      <c r="DG87" s="1"/>
      <c r="DH87" s="1"/>
      <c r="XP87" s="7"/>
    </row>
    <row r="88" spans="1:640" ht="18" customHeight="1" x14ac:dyDescent="0.3">
      <c r="A88" s="8"/>
      <c r="BQ88" s="1"/>
      <c r="BR88" s="1"/>
      <c r="BS88" s="1"/>
      <c r="BT88" s="1"/>
      <c r="CC88" s="1"/>
      <c r="CD88" s="1"/>
      <c r="CE88" s="1"/>
      <c r="CF88" s="1"/>
      <c r="CK88" s="1"/>
      <c r="CL88" s="1"/>
      <c r="CM88" s="1"/>
      <c r="CN88" s="1"/>
      <c r="CS88" s="1"/>
      <c r="CT88" s="1"/>
      <c r="CU88" s="1"/>
      <c r="CV88" s="1"/>
      <c r="DE88" s="1"/>
      <c r="DF88" s="1"/>
      <c r="DG88" s="1"/>
      <c r="DH88" s="1"/>
      <c r="XP88" s="7"/>
    </row>
    <row r="89" spans="1:640" ht="18" customHeight="1" x14ac:dyDescent="0.3">
      <c r="A89" s="8"/>
      <c r="BQ89" s="1"/>
      <c r="BR89" s="1"/>
      <c r="BS89" s="1"/>
      <c r="BT89" s="1"/>
      <c r="CC89" s="1"/>
      <c r="CD89" s="1"/>
      <c r="CE89" s="1"/>
      <c r="CF89" s="1"/>
      <c r="CK89" s="1"/>
      <c r="CL89" s="1"/>
      <c r="CM89" s="1"/>
      <c r="CN89" s="1"/>
      <c r="CS89" s="1"/>
      <c r="CT89" s="1"/>
      <c r="CU89" s="1"/>
      <c r="CV89" s="1"/>
      <c r="DE89" s="1"/>
      <c r="DF89" s="1"/>
      <c r="DG89" s="1"/>
      <c r="DH89" s="1"/>
      <c r="XP89" s="7"/>
    </row>
    <row r="90" spans="1:640" ht="18" customHeight="1" x14ac:dyDescent="0.3">
      <c r="A90" s="8"/>
      <c r="BQ90" s="1"/>
      <c r="BR90" s="1"/>
      <c r="BS90" s="1"/>
      <c r="BT90" s="1"/>
      <c r="CC90" s="1"/>
      <c r="CD90" s="1"/>
      <c r="CE90" s="1"/>
      <c r="CF90" s="1"/>
      <c r="CK90" s="1"/>
      <c r="CL90" s="1"/>
      <c r="CM90" s="1"/>
      <c r="CN90" s="1"/>
      <c r="CS90" s="1"/>
      <c r="CT90" s="1"/>
      <c r="CU90" s="1"/>
      <c r="CV90" s="1"/>
      <c r="DE90" s="1"/>
      <c r="DF90" s="1"/>
      <c r="DG90" s="1"/>
      <c r="DH90" s="1"/>
      <c r="XP90" s="7"/>
    </row>
    <row r="91" spans="1:640" ht="18" customHeight="1" x14ac:dyDescent="0.3">
      <c r="A91" s="8"/>
      <c r="BQ91" s="1"/>
      <c r="BR91" s="1"/>
      <c r="BS91" s="1"/>
      <c r="BT91" s="1"/>
      <c r="CC91" s="1"/>
      <c r="CD91" s="1"/>
      <c r="CE91" s="1"/>
      <c r="CF91" s="1"/>
      <c r="CK91" s="1"/>
      <c r="CL91" s="1"/>
      <c r="CM91" s="1"/>
      <c r="CN91" s="1"/>
      <c r="CS91" s="1"/>
      <c r="CT91" s="1"/>
      <c r="CU91" s="1"/>
      <c r="CV91" s="1"/>
      <c r="DE91" s="1"/>
      <c r="DF91" s="1"/>
      <c r="DG91" s="1"/>
      <c r="DH91" s="1"/>
      <c r="XP91" s="7"/>
    </row>
    <row r="92" spans="1:640" ht="18" customHeight="1" x14ac:dyDescent="0.3">
      <c r="A92" s="8"/>
      <c r="BQ92" s="1"/>
      <c r="BR92" s="1"/>
      <c r="BS92" s="1"/>
      <c r="BT92" s="1"/>
      <c r="CC92" s="1"/>
      <c r="CD92" s="1"/>
      <c r="CE92" s="1"/>
      <c r="CF92" s="1"/>
      <c r="CK92" s="1"/>
      <c r="CL92" s="1"/>
      <c r="CM92" s="1"/>
      <c r="CN92" s="1"/>
      <c r="CS92" s="1"/>
      <c r="CT92" s="1"/>
      <c r="CU92" s="1"/>
      <c r="CV92" s="1"/>
      <c r="DE92" s="1"/>
      <c r="DF92" s="1"/>
      <c r="DG92" s="1"/>
      <c r="DH92" s="1"/>
      <c r="XP92" s="7"/>
    </row>
    <row r="93" spans="1:640" ht="18" customHeight="1" x14ac:dyDescent="0.3">
      <c r="A93" s="8"/>
      <c r="BQ93" s="1"/>
      <c r="BR93" s="1"/>
      <c r="BS93" s="1"/>
      <c r="BT93" s="1"/>
      <c r="CC93" s="1"/>
      <c r="CD93" s="1"/>
      <c r="CE93" s="1"/>
      <c r="CF93" s="1"/>
      <c r="CK93" s="1"/>
      <c r="CL93" s="1"/>
      <c r="CM93" s="1"/>
      <c r="CN93" s="1"/>
      <c r="CS93" s="1"/>
      <c r="CT93" s="1"/>
      <c r="CU93" s="1"/>
      <c r="CV93" s="1"/>
      <c r="DE93" s="1"/>
      <c r="DF93" s="1"/>
      <c r="DG93" s="1"/>
      <c r="DH93" s="1"/>
      <c r="XP93" s="7"/>
    </row>
    <row r="94" spans="1:640" ht="18" customHeight="1" x14ac:dyDescent="0.3">
      <c r="A94" s="8"/>
      <c r="BQ94" s="1"/>
      <c r="BR94" s="1"/>
      <c r="BS94" s="1"/>
      <c r="BT94" s="1"/>
      <c r="BY94" s="1"/>
      <c r="BZ94" s="1"/>
      <c r="CA94" s="1"/>
      <c r="CB94" s="1"/>
      <c r="CK94" s="1"/>
      <c r="CL94" s="1"/>
      <c r="CM94" s="1"/>
      <c r="CN94" s="1"/>
      <c r="CW94" s="1"/>
      <c r="CX94" s="1"/>
      <c r="CY94" s="1"/>
      <c r="CZ94" s="1"/>
      <c r="DE94" s="1"/>
      <c r="DF94" s="1"/>
      <c r="DG94" s="1"/>
      <c r="DH94" s="1"/>
      <c r="XP94" s="7"/>
    </row>
    <row r="95" spans="1:640" ht="18" customHeight="1" x14ac:dyDescent="0.3">
      <c r="A95" s="8"/>
      <c r="BQ95" s="1"/>
      <c r="BR95" s="1"/>
      <c r="BS95" s="1"/>
      <c r="BT95" s="1"/>
      <c r="BY95" s="1"/>
      <c r="BZ95" s="1"/>
      <c r="CA95" s="1"/>
      <c r="CB95" s="1"/>
      <c r="CK95" s="1"/>
      <c r="CL95" s="1"/>
      <c r="CM95" s="1"/>
      <c r="CN95" s="1"/>
      <c r="CW95" s="1"/>
      <c r="CX95" s="1"/>
      <c r="CY95" s="1"/>
      <c r="CZ95" s="1"/>
      <c r="DE95" s="1"/>
      <c r="DF95" s="1"/>
      <c r="DG95" s="1"/>
      <c r="DH95" s="1"/>
      <c r="XP95" s="7"/>
    </row>
    <row r="96" spans="1:640" ht="18" customHeight="1" x14ac:dyDescent="0.3">
      <c r="A96" s="8"/>
      <c r="BQ96" s="1"/>
      <c r="BR96" s="1"/>
      <c r="BS96" s="1"/>
      <c r="BT96" s="1"/>
      <c r="BY96" s="1"/>
      <c r="BZ96" s="1"/>
      <c r="CA96" s="1"/>
      <c r="CB96" s="1"/>
      <c r="CK96" s="1"/>
      <c r="CL96" s="1"/>
      <c r="CM96" s="1"/>
      <c r="CN96" s="1"/>
      <c r="CW96" s="1"/>
      <c r="CX96" s="1"/>
      <c r="CY96" s="1"/>
      <c r="CZ96" s="1"/>
      <c r="DE96" s="1"/>
      <c r="DF96" s="1"/>
      <c r="DG96" s="1"/>
      <c r="DH96" s="1"/>
      <c r="XP96" s="7"/>
    </row>
    <row r="97" spans="1:640" ht="18" customHeight="1" x14ac:dyDescent="0.3">
      <c r="A97" s="8"/>
      <c r="BQ97" s="1"/>
      <c r="BR97" s="1"/>
      <c r="BS97" s="1"/>
      <c r="BT97" s="1"/>
      <c r="BY97" s="1"/>
      <c r="BZ97" s="1"/>
      <c r="CA97" s="1"/>
      <c r="CB97" s="1"/>
      <c r="CK97" s="1"/>
      <c r="CL97" s="1"/>
      <c r="CM97" s="1"/>
      <c r="CN97" s="1"/>
      <c r="CW97" s="1"/>
      <c r="CX97" s="1"/>
      <c r="CY97" s="1"/>
      <c r="CZ97" s="1"/>
      <c r="DE97" s="1"/>
      <c r="DF97" s="1"/>
      <c r="DG97" s="1"/>
      <c r="DH97" s="1"/>
      <c r="XP97" s="7"/>
    </row>
    <row r="98" spans="1:640" ht="18" customHeight="1" x14ac:dyDescent="0.3">
      <c r="A98" s="8"/>
      <c r="BQ98" s="1"/>
      <c r="BR98" s="1"/>
      <c r="BS98" s="1"/>
      <c r="BT98" s="1"/>
      <c r="BY98" s="1"/>
      <c r="BZ98" s="1"/>
      <c r="CA98" s="1"/>
      <c r="CB98" s="1"/>
      <c r="CK98" s="1"/>
      <c r="CL98" s="1"/>
      <c r="CM98" s="1"/>
      <c r="CN98" s="1"/>
      <c r="CW98" s="1"/>
      <c r="CX98" s="1"/>
      <c r="CY98" s="1"/>
      <c r="CZ98" s="1"/>
      <c r="DE98" s="1"/>
      <c r="DF98" s="1"/>
      <c r="DG98" s="1"/>
      <c r="DH98" s="1"/>
      <c r="XP98" s="7"/>
    </row>
    <row r="99" spans="1:640" ht="18" customHeight="1" x14ac:dyDescent="0.3">
      <c r="A99" s="8"/>
      <c r="BQ99" s="1"/>
      <c r="BR99" s="1"/>
      <c r="BS99" s="1"/>
      <c r="BT99" s="1"/>
      <c r="BY99" s="1"/>
      <c r="BZ99" s="1"/>
      <c r="CA99" s="1"/>
      <c r="CB99" s="1"/>
      <c r="CK99" s="1"/>
      <c r="CL99" s="1"/>
      <c r="CM99" s="1"/>
      <c r="CN99" s="1"/>
      <c r="CW99" s="1"/>
      <c r="CX99" s="1"/>
      <c r="CY99" s="1"/>
      <c r="CZ99" s="1"/>
      <c r="DE99" s="1"/>
      <c r="DF99" s="1"/>
      <c r="DG99" s="1"/>
      <c r="DH99" s="1"/>
      <c r="XP99" s="7"/>
    </row>
    <row r="100" spans="1:640" ht="18" customHeight="1" x14ac:dyDescent="0.3">
      <c r="A100" s="8"/>
      <c r="BQ100" s="1"/>
      <c r="BR100" s="1"/>
      <c r="BS100" s="1"/>
      <c r="BT100" s="1"/>
      <c r="BY100" s="1"/>
      <c r="BZ100" s="1"/>
      <c r="CA100" s="1"/>
      <c r="CB100" s="1"/>
      <c r="CK100" s="1"/>
      <c r="CL100" s="1"/>
      <c r="CM100" s="1"/>
      <c r="CN100" s="1"/>
      <c r="CW100" s="1"/>
      <c r="CX100" s="1"/>
      <c r="CY100" s="1"/>
      <c r="CZ100" s="1"/>
      <c r="DE100" s="1"/>
      <c r="DF100" s="1"/>
      <c r="DG100" s="1"/>
      <c r="DH100" s="1"/>
      <c r="XP100" s="7"/>
    </row>
    <row r="101" spans="1:640" ht="18" customHeight="1" x14ac:dyDescent="0.3">
      <c r="A101" s="8"/>
      <c r="BQ101" s="1"/>
      <c r="BR101" s="1"/>
      <c r="BS101" s="1"/>
      <c r="BT101" s="1"/>
      <c r="BY101" s="1"/>
      <c r="BZ101" s="1"/>
      <c r="CA101" s="1"/>
      <c r="CB101" s="1"/>
      <c r="CK101" s="1"/>
      <c r="CL101" s="1"/>
      <c r="CM101" s="1"/>
      <c r="CN101" s="1"/>
      <c r="CW101" s="1"/>
      <c r="CX101" s="1"/>
      <c r="CY101" s="1"/>
      <c r="CZ101" s="1"/>
      <c r="DE101" s="1"/>
      <c r="DF101" s="1"/>
      <c r="DG101" s="1"/>
      <c r="DH101" s="1"/>
      <c r="XP101" s="7"/>
    </row>
    <row r="102" spans="1:640" ht="18" customHeight="1" x14ac:dyDescent="0.3">
      <c r="A102" s="8"/>
      <c r="BQ102" s="1"/>
      <c r="BR102" s="1"/>
      <c r="BS102" s="1"/>
      <c r="BT102" s="1"/>
      <c r="BU102" s="1"/>
      <c r="BV102" s="1"/>
      <c r="BW102" s="1"/>
      <c r="BX102" s="1"/>
      <c r="CK102" s="1"/>
      <c r="CL102" s="1"/>
      <c r="CM102" s="1"/>
      <c r="CN102" s="1"/>
      <c r="DA102" s="1"/>
      <c r="DB102" s="1"/>
      <c r="DC102" s="1"/>
      <c r="DD102" s="1"/>
      <c r="DE102" s="1"/>
      <c r="DF102" s="1"/>
      <c r="DG102" s="1"/>
      <c r="DH102" s="1"/>
      <c r="XP102" s="7"/>
    </row>
    <row r="103" spans="1:640" ht="18" customHeight="1" x14ac:dyDescent="0.3">
      <c r="A103" s="8"/>
      <c r="BQ103" s="1"/>
      <c r="BR103" s="1"/>
      <c r="BS103" s="1"/>
      <c r="BT103" s="1"/>
      <c r="BU103" s="1"/>
      <c r="BV103" s="1"/>
      <c r="BW103" s="1"/>
      <c r="BX103" s="1"/>
      <c r="CK103" s="1"/>
      <c r="CL103" s="1"/>
      <c r="CM103" s="1"/>
      <c r="CN103" s="1"/>
      <c r="DA103" s="1"/>
      <c r="DB103" s="1"/>
      <c r="DC103" s="1"/>
      <c r="DD103" s="1"/>
      <c r="DE103" s="1"/>
      <c r="DF103" s="1"/>
      <c r="DG103" s="1"/>
      <c r="DH103" s="1"/>
      <c r="XP103" s="7"/>
    </row>
    <row r="104" spans="1:640" ht="18" customHeight="1" x14ac:dyDescent="0.3">
      <c r="A104" s="8"/>
      <c r="BQ104" s="1"/>
      <c r="BR104" s="1"/>
      <c r="BS104" s="1"/>
      <c r="BT104" s="1"/>
      <c r="BU104" s="1"/>
      <c r="BV104" s="1"/>
      <c r="BW104" s="1"/>
      <c r="BX104" s="1"/>
      <c r="CK104" s="1"/>
      <c r="CL104" s="1"/>
      <c r="CM104" s="1"/>
      <c r="CN104" s="1"/>
      <c r="DA104" s="1"/>
      <c r="DB104" s="1"/>
      <c r="DC104" s="1"/>
      <c r="DD104" s="1"/>
      <c r="DE104" s="1"/>
      <c r="DF104" s="1"/>
      <c r="DG104" s="1"/>
      <c r="DH104" s="1"/>
      <c r="XP104" s="7"/>
    </row>
    <row r="105" spans="1:640" ht="18" customHeight="1" x14ac:dyDescent="0.3">
      <c r="A105" s="8"/>
      <c r="BQ105" s="1"/>
      <c r="BR105" s="1"/>
      <c r="BS105" s="1"/>
      <c r="BT105" s="1"/>
      <c r="BU105" s="1"/>
      <c r="BV105" s="1"/>
      <c r="BW105" s="1"/>
      <c r="BX105" s="1"/>
      <c r="CK105" s="1"/>
      <c r="CL105" s="1"/>
      <c r="CM105" s="1"/>
      <c r="CN105" s="1"/>
      <c r="DA105" s="1"/>
      <c r="DB105" s="1"/>
      <c r="DC105" s="1"/>
      <c r="DD105" s="1"/>
      <c r="DE105" s="1"/>
      <c r="DF105" s="1"/>
      <c r="DG105" s="1"/>
      <c r="DH105" s="1"/>
      <c r="XP105" s="7"/>
    </row>
    <row r="106" spans="1:640" ht="18" customHeight="1" x14ac:dyDescent="0.3">
      <c r="A106" s="8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XP106" s="7"/>
    </row>
    <row r="107" spans="1:640" ht="18" customHeight="1" x14ac:dyDescent="0.3">
      <c r="A107" s="8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XP107" s="7"/>
    </row>
    <row r="108" spans="1:640" ht="18" customHeight="1" x14ac:dyDescent="0.3">
      <c r="A108" s="8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XP108" s="7"/>
    </row>
    <row r="109" spans="1:640" ht="18" customHeight="1" x14ac:dyDescent="0.3">
      <c r="A109" s="8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XP109" s="7"/>
    </row>
    <row r="110" spans="1:640" ht="18" customHeight="1" x14ac:dyDescent="0.3">
      <c r="A110" s="8"/>
      <c r="XP110" s="7"/>
    </row>
    <row r="111" spans="1:640" ht="18" customHeight="1" x14ac:dyDescent="0.3">
      <c r="A111" s="8"/>
      <c r="XP111" s="7"/>
    </row>
    <row r="112" spans="1:640" ht="18" customHeight="1" x14ac:dyDescent="0.3">
      <c r="A112" s="8"/>
      <c r="XP112" s="7"/>
    </row>
    <row r="113" spans="1:640" ht="18" customHeight="1" x14ac:dyDescent="0.3">
      <c r="A113" s="8"/>
      <c r="XP113" s="7"/>
    </row>
    <row r="114" spans="1:640" ht="18" customHeight="1" x14ac:dyDescent="0.3">
      <c r="A114" s="8"/>
      <c r="XP114" s="7"/>
    </row>
    <row r="115" spans="1:640" ht="18" customHeight="1" x14ac:dyDescent="0.3">
      <c r="A115" s="8"/>
      <c r="XP115" s="7"/>
    </row>
    <row r="116" spans="1:640" ht="18" customHeight="1" x14ac:dyDescent="0.3">
      <c r="A116" s="8"/>
      <c r="XP116" s="7"/>
    </row>
    <row r="117" spans="1:640" ht="18" customHeight="1" x14ac:dyDescent="0.3">
      <c r="A117" s="8"/>
      <c r="XP117" s="7"/>
    </row>
    <row r="118" spans="1:640" ht="18" customHeight="1" x14ac:dyDescent="0.3">
      <c r="A118" s="8"/>
      <c r="XP118" s="7"/>
    </row>
    <row r="119" spans="1:640" ht="18" customHeight="1" x14ac:dyDescent="0.3">
      <c r="A119" s="8"/>
      <c r="XP119" s="7"/>
    </row>
    <row r="120" spans="1:640" ht="18" customHeight="1" x14ac:dyDescent="0.3">
      <c r="A120" s="8"/>
      <c r="XP120" s="7"/>
    </row>
    <row r="121" spans="1:640" ht="18" customHeight="1" x14ac:dyDescent="0.3">
      <c r="A121" s="8"/>
      <c r="XP121" s="7"/>
    </row>
    <row r="122" spans="1:640" ht="18" customHeight="1" x14ac:dyDescent="0.3">
      <c r="A122" s="8"/>
      <c r="XP122" s="7"/>
    </row>
    <row r="123" spans="1:640" ht="18" customHeight="1" x14ac:dyDescent="0.3">
      <c r="A123" s="8"/>
      <c r="XP123" s="7"/>
    </row>
    <row r="124" spans="1:640" ht="18" customHeight="1" x14ac:dyDescent="0.3">
      <c r="A124" s="8"/>
      <c r="XP124" s="7"/>
    </row>
    <row r="125" spans="1:640" ht="18" customHeight="1" x14ac:dyDescent="0.3">
      <c r="A125" s="8"/>
      <c r="XP125" s="7"/>
    </row>
    <row r="126" spans="1:640" ht="18" customHeight="1" x14ac:dyDescent="0.3">
      <c r="A126" s="8"/>
      <c r="XP126" s="7"/>
    </row>
    <row r="127" spans="1:640" ht="18" customHeight="1" x14ac:dyDescent="0.3">
      <c r="A127" s="8"/>
      <c r="XP127" s="7"/>
    </row>
    <row r="128" spans="1:640" ht="18" customHeight="1" x14ac:dyDescent="0.3">
      <c r="A128" s="8"/>
      <c r="XP128" s="7"/>
    </row>
    <row r="129" spans="1:640" ht="18" customHeight="1" x14ac:dyDescent="0.3">
      <c r="A129" s="8"/>
      <c r="XP129" s="7"/>
    </row>
    <row r="130" spans="1:640" ht="18" customHeight="1" x14ac:dyDescent="0.3">
      <c r="A130" s="8"/>
      <c r="XP130" s="7"/>
    </row>
    <row r="131" spans="1:640" ht="18" customHeight="1" x14ac:dyDescent="0.3">
      <c r="A131" s="8"/>
      <c r="XP131" s="7"/>
    </row>
    <row r="132" spans="1:640" ht="18" customHeight="1" x14ac:dyDescent="0.3">
      <c r="A132" s="8"/>
      <c r="XP132" s="7"/>
    </row>
    <row r="133" spans="1:640" ht="18" customHeight="1" x14ac:dyDescent="0.3">
      <c r="A133" s="8"/>
      <c r="XP133" s="7"/>
    </row>
    <row r="134" spans="1:640" ht="18" customHeight="1" x14ac:dyDescent="0.3">
      <c r="A134" s="8"/>
      <c r="XP134" s="7"/>
    </row>
    <row r="135" spans="1:640" ht="18" customHeight="1" x14ac:dyDescent="0.3">
      <c r="A135" s="8"/>
      <c r="XP135" s="7"/>
    </row>
    <row r="136" spans="1:640" ht="18" customHeight="1" x14ac:dyDescent="0.3">
      <c r="A136" s="8"/>
      <c r="XP136" s="7"/>
    </row>
    <row r="137" spans="1:640" ht="18" customHeight="1" x14ac:dyDescent="0.3">
      <c r="A137" s="8"/>
      <c r="XP137" s="7"/>
    </row>
    <row r="138" spans="1:640" ht="18" customHeight="1" x14ac:dyDescent="0.3">
      <c r="A138" s="8"/>
      <c r="XP138" s="7"/>
    </row>
    <row r="139" spans="1:640" ht="18" customHeight="1" x14ac:dyDescent="0.3">
      <c r="A139" s="8"/>
      <c r="XP139" s="7"/>
    </row>
    <row r="140" spans="1:640" ht="18" customHeight="1" x14ac:dyDescent="0.3">
      <c r="A140" s="8"/>
      <c r="XP140" s="7"/>
    </row>
    <row r="141" spans="1:640" ht="18" customHeight="1" x14ac:dyDescent="0.3">
      <c r="A141" s="8"/>
      <c r="XP141" s="7"/>
    </row>
    <row r="142" spans="1:640" ht="18" customHeight="1" x14ac:dyDescent="0.3">
      <c r="A142" s="8"/>
      <c r="XP142" s="7"/>
    </row>
    <row r="143" spans="1:640" ht="18" customHeight="1" x14ac:dyDescent="0.3">
      <c r="A143" s="8"/>
      <c r="XP143" s="7"/>
    </row>
    <row r="144" spans="1:640" ht="18" customHeight="1" x14ac:dyDescent="0.3">
      <c r="A144" s="8"/>
      <c r="XP144" s="7"/>
    </row>
    <row r="145" spans="1:640" ht="18" customHeight="1" x14ac:dyDescent="0.3">
      <c r="A145" s="8"/>
      <c r="XP145" s="7"/>
    </row>
    <row r="146" spans="1:640" ht="18" customHeight="1" x14ac:dyDescent="0.3">
      <c r="A146" s="8"/>
      <c r="XP146" s="7"/>
    </row>
    <row r="147" spans="1:640" ht="18" customHeight="1" x14ac:dyDescent="0.3">
      <c r="A147" s="8"/>
      <c r="XP147" s="7"/>
    </row>
    <row r="148" spans="1:640" ht="18" customHeight="1" x14ac:dyDescent="0.3">
      <c r="A148" s="8"/>
      <c r="XP148" s="7"/>
    </row>
    <row r="149" spans="1:640" ht="18" customHeight="1" x14ac:dyDescent="0.3">
      <c r="A149" s="8"/>
      <c r="XP149" s="7"/>
    </row>
    <row r="150" spans="1:640" ht="18" customHeight="1" x14ac:dyDescent="0.3">
      <c r="A150" s="8"/>
      <c r="XP150" s="7"/>
    </row>
    <row r="151" spans="1:640" ht="18" customHeight="1" x14ac:dyDescent="0.3">
      <c r="A151" s="8"/>
      <c r="XP151" s="7"/>
    </row>
    <row r="152" spans="1:640" ht="18" customHeight="1" x14ac:dyDescent="0.3">
      <c r="A152" s="8"/>
      <c r="XP152" s="7"/>
    </row>
    <row r="153" spans="1:640" ht="18" customHeight="1" x14ac:dyDescent="0.3">
      <c r="A153" s="8"/>
      <c r="XP153" s="7"/>
    </row>
    <row r="154" spans="1:640" ht="18" customHeight="1" x14ac:dyDescent="0.3">
      <c r="A154" s="8"/>
      <c r="XP154" s="7"/>
    </row>
    <row r="155" spans="1:640" ht="18" customHeight="1" x14ac:dyDescent="0.3">
      <c r="A155" s="8"/>
      <c r="XP155" s="7"/>
    </row>
    <row r="156" spans="1:640" ht="18" customHeight="1" x14ac:dyDescent="0.3">
      <c r="A156" s="8"/>
      <c r="XP156" s="7"/>
    </row>
    <row r="157" spans="1:640" ht="18" customHeight="1" x14ac:dyDescent="0.3">
      <c r="A157" s="8"/>
      <c r="XP157" s="7"/>
    </row>
    <row r="158" spans="1:640" ht="18" customHeight="1" x14ac:dyDescent="0.3">
      <c r="A158" s="8"/>
      <c r="XP158" s="7"/>
    </row>
    <row r="159" spans="1:640" ht="18" customHeight="1" x14ac:dyDescent="0.3">
      <c r="A159" s="8"/>
      <c r="XP159" s="7"/>
    </row>
    <row r="160" spans="1:640" ht="18" customHeight="1" x14ac:dyDescent="0.3">
      <c r="A160" s="8"/>
      <c r="XP160" s="7"/>
    </row>
    <row r="161" spans="1:640" ht="18" customHeight="1" x14ac:dyDescent="0.3">
      <c r="A161" s="8"/>
      <c r="XP161" s="7"/>
    </row>
    <row r="162" spans="1:640" ht="18" customHeight="1" x14ac:dyDescent="0.3">
      <c r="A162" s="8"/>
      <c r="XP162" s="7"/>
    </row>
    <row r="163" spans="1:640" ht="18" customHeight="1" x14ac:dyDescent="0.3">
      <c r="A163" s="8"/>
      <c r="XP163" s="7"/>
    </row>
    <row r="164" spans="1:640" ht="18" customHeight="1" x14ac:dyDescent="0.3">
      <c r="A164" s="8"/>
      <c r="XP164" s="7"/>
    </row>
    <row r="165" spans="1:640" ht="18" customHeight="1" x14ac:dyDescent="0.3">
      <c r="A165" s="8"/>
      <c r="XP165" s="7"/>
    </row>
    <row r="166" spans="1:640" ht="18" customHeight="1" x14ac:dyDescent="0.3">
      <c r="A166" s="8"/>
      <c r="XP166" s="7"/>
    </row>
    <row r="167" spans="1:640" ht="18" customHeight="1" x14ac:dyDescent="0.3">
      <c r="A167" s="8"/>
      <c r="XP167" s="7"/>
    </row>
    <row r="168" spans="1:640" ht="18" customHeight="1" x14ac:dyDescent="0.3">
      <c r="A168" s="8"/>
      <c r="XP168" s="7"/>
    </row>
    <row r="169" spans="1:640" ht="18" customHeight="1" x14ac:dyDescent="0.3">
      <c r="A169" s="8"/>
      <c r="XP169" s="7"/>
    </row>
    <row r="170" spans="1:640" ht="18" customHeight="1" x14ac:dyDescent="0.3">
      <c r="A170" s="8"/>
      <c r="XP170" s="7"/>
    </row>
    <row r="171" spans="1:640" ht="18" customHeight="1" x14ac:dyDescent="0.3">
      <c r="A171" s="8"/>
      <c r="XP171" s="7"/>
    </row>
    <row r="172" spans="1:640" ht="18" customHeight="1" x14ac:dyDescent="0.3">
      <c r="A172" s="8"/>
      <c r="XP172" s="7"/>
    </row>
    <row r="173" spans="1:640" ht="18" customHeight="1" x14ac:dyDescent="0.3">
      <c r="A173" s="8"/>
      <c r="XP173" s="7"/>
    </row>
    <row r="174" spans="1:640" ht="18" customHeight="1" x14ac:dyDescent="0.3">
      <c r="A174" s="8"/>
      <c r="XP174" s="7"/>
    </row>
    <row r="175" spans="1:640" ht="18" customHeight="1" x14ac:dyDescent="0.3">
      <c r="A175" s="8"/>
      <c r="XP175" s="7"/>
    </row>
    <row r="176" spans="1:640" ht="18" customHeight="1" x14ac:dyDescent="0.3">
      <c r="A176" s="8"/>
      <c r="XP176" s="7"/>
    </row>
    <row r="177" spans="1:640" ht="18" customHeight="1" x14ac:dyDescent="0.3">
      <c r="A177" s="8"/>
      <c r="XP177" s="7"/>
    </row>
    <row r="178" spans="1:640" ht="18" customHeight="1" x14ac:dyDescent="0.3">
      <c r="A178" s="8"/>
      <c r="XP178" s="7"/>
    </row>
    <row r="179" spans="1:640" ht="18" customHeight="1" x14ac:dyDescent="0.3">
      <c r="A179" s="8"/>
      <c r="XP179" s="7"/>
    </row>
    <row r="180" spans="1:640" ht="18" customHeight="1" x14ac:dyDescent="0.3">
      <c r="A180" s="8"/>
      <c r="XP180" s="7"/>
    </row>
    <row r="181" spans="1:640" ht="18" customHeight="1" x14ac:dyDescent="0.3">
      <c r="A181" s="8"/>
      <c r="XP181" s="7"/>
    </row>
    <row r="182" spans="1:640" ht="18" customHeight="1" x14ac:dyDescent="0.3">
      <c r="A182" s="8"/>
      <c r="XP182" s="7"/>
    </row>
    <row r="183" spans="1:640" ht="18" customHeight="1" x14ac:dyDescent="0.3">
      <c r="A183" s="8"/>
      <c r="XP183" s="7"/>
    </row>
    <row r="184" spans="1:640" ht="18" customHeight="1" x14ac:dyDescent="0.3">
      <c r="A184" s="8"/>
      <c r="XP184" s="7"/>
    </row>
    <row r="185" spans="1:640" ht="18" customHeight="1" x14ac:dyDescent="0.3">
      <c r="A185" s="8"/>
      <c r="XP185" s="7"/>
    </row>
    <row r="186" spans="1:640" ht="18" customHeight="1" x14ac:dyDescent="0.3">
      <c r="A186" s="8"/>
      <c r="XP186" s="7"/>
    </row>
    <row r="187" spans="1:640" ht="18" customHeight="1" x14ac:dyDescent="0.3">
      <c r="A187" s="8"/>
      <c r="XP187" s="7"/>
    </row>
    <row r="188" spans="1:640" ht="18" customHeight="1" x14ac:dyDescent="0.3">
      <c r="A188" s="8"/>
      <c r="XP188" s="7"/>
    </row>
    <row r="189" spans="1:640" ht="18" customHeight="1" x14ac:dyDescent="0.3">
      <c r="A189" s="8"/>
      <c r="XP189" s="7"/>
    </row>
    <row r="190" spans="1:640" ht="18" customHeight="1" x14ac:dyDescent="0.3">
      <c r="A190" s="8"/>
      <c r="XP190" s="7"/>
    </row>
    <row r="191" spans="1:640" ht="18" customHeight="1" x14ac:dyDescent="0.3">
      <c r="A191" s="8"/>
      <c r="XP191" s="7"/>
    </row>
    <row r="192" spans="1:640" ht="18" customHeight="1" x14ac:dyDescent="0.3">
      <c r="A192" s="8"/>
      <c r="XP192" s="7"/>
    </row>
    <row r="193" spans="1:640" ht="18" customHeight="1" x14ac:dyDescent="0.3">
      <c r="A193" s="8"/>
      <c r="XP193" s="7"/>
    </row>
    <row r="194" spans="1:640" ht="18" customHeight="1" x14ac:dyDescent="0.3">
      <c r="A194" s="8"/>
      <c r="XP194" s="7"/>
    </row>
    <row r="195" spans="1:640" ht="18" customHeight="1" x14ac:dyDescent="0.3">
      <c r="A195" s="8"/>
      <c r="XP195" s="7"/>
    </row>
    <row r="196" spans="1:640" ht="18" customHeight="1" x14ac:dyDescent="0.3">
      <c r="A196" s="8"/>
      <c r="XP196" s="7"/>
    </row>
    <row r="197" spans="1:640" ht="18" customHeight="1" x14ac:dyDescent="0.3">
      <c r="A197" s="8"/>
      <c r="XP197" s="7"/>
    </row>
    <row r="198" spans="1:640" ht="18" customHeight="1" x14ac:dyDescent="0.3">
      <c r="A198" s="8"/>
      <c r="XP198" s="7"/>
    </row>
    <row r="199" spans="1:640" ht="18" customHeight="1" x14ac:dyDescent="0.3">
      <c r="A199" s="8"/>
      <c r="XP199" s="7"/>
    </row>
    <row r="200" spans="1:640" ht="18" customHeight="1" x14ac:dyDescent="0.3">
      <c r="A200" s="8"/>
      <c r="XP200" s="7"/>
    </row>
    <row r="201" spans="1:640" ht="18" customHeight="1" x14ac:dyDescent="0.3">
      <c r="A201" s="8"/>
      <c r="XP201" s="7"/>
    </row>
    <row r="202" spans="1:640" ht="18" customHeight="1" x14ac:dyDescent="0.3">
      <c r="A202" s="8"/>
      <c r="XP202" s="7"/>
    </row>
    <row r="203" spans="1:640" ht="18" customHeight="1" x14ac:dyDescent="0.3">
      <c r="A203" s="8"/>
      <c r="XP203" s="7"/>
    </row>
    <row r="204" spans="1:640" ht="18" customHeight="1" x14ac:dyDescent="0.3">
      <c r="A204" s="8"/>
      <c r="XP204" s="7"/>
    </row>
    <row r="205" spans="1:640" ht="18" customHeight="1" x14ac:dyDescent="0.3">
      <c r="A205" s="8"/>
      <c r="XP205" s="7"/>
    </row>
    <row r="206" spans="1:640" ht="18" customHeight="1" x14ac:dyDescent="0.3">
      <c r="A206" s="8"/>
      <c r="XP206" s="7"/>
    </row>
    <row r="207" spans="1:640" ht="18" customHeight="1" x14ac:dyDescent="0.3">
      <c r="A207" s="8"/>
      <c r="XP207" s="7"/>
    </row>
    <row r="208" spans="1:640" ht="18" customHeight="1" x14ac:dyDescent="0.3">
      <c r="A208" s="8"/>
      <c r="XP208" s="7"/>
    </row>
    <row r="209" spans="1:640" ht="18" customHeight="1" x14ac:dyDescent="0.3">
      <c r="A209" s="8"/>
      <c r="XP209" s="7"/>
    </row>
    <row r="210" spans="1:640" ht="18" customHeight="1" x14ac:dyDescent="0.3">
      <c r="A210" s="8"/>
      <c r="XP210" s="7"/>
    </row>
    <row r="211" spans="1:640" ht="18" customHeight="1" x14ac:dyDescent="0.3">
      <c r="A211" s="8"/>
      <c r="XP211" s="7"/>
    </row>
    <row r="212" spans="1:640" ht="18" customHeight="1" x14ac:dyDescent="0.3">
      <c r="A212" s="8"/>
      <c r="XP212" s="7"/>
    </row>
    <row r="213" spans="1:640" ht="18" customHeight="1" x14ac:dyDescent="0.3">
      <c r="A213" s="8"/>
      <c r="XP213" s="7"/>
    </row>
    <row r="214" spans="1:640" ht="18" customHeight="1" x14ac:dyDescent="0.3">
      <c r="A214" s="8"/>
      <c r="XP214" s="7"/>
    </row>
    <row r="215" spans="1:640" ht="18" customHeight="1" x14ac:dyDescent="0.3">
      <c r="A215" s="8"/>
      <c r="XP215" s="7"/>
    </row>
    <row r="216" spans="1:640" ht="18" customHeight="1" x14ac:dyDescent="0.3">
      <c r="A216" s="8"/>
      <c r="XP216" s="7"/>
    </row>
    <row r="217" spans="1:640" ht="18" customHeight="1" x14ac:dyDescent="0.3">
      <c r="A217" s="8"/>
      <c r="XP217" s="7"/>
    </row>
    <row r="218" spans="1:640" ht="18" customHeight="1" x14ac:dyDescent="0.3">
      <c r="A218" s="8"/>
      <c r="XP218" s="7"/>
    </row>
    <row r="219" spans="1:640" ht="18" customHeight="1" x14ac:dyDescent="0.3">
      <c r="A219" s="8"/>
      <c r="XP219" s="7"/>
    </row>
    <row r="220" spans="1:640" ht="18" customHeight="1" x14ac:dyDescent="0.3">
      <c r="A220" s="8"/>
      <c r="XP220" s="7"/>
    </row>
    <row r="221" spans="1:640" ht="18" customHeight="1" x14ac:dyDescent="0.3">
      <c r="A221" s="8"/>
      <c r="XP221" s="7"/>
    </row>
    <row r="222" spans="1:640" ht="18" customHeight="1" x14ac:dyDescent="0.3">
      <c r="A222" s="8"/>
      <c r="XP222" s="7"/>
    </row>
    <row r="223" spans="1:640" ht="18" customHeight="1" x14ac:dyDescent="0.3">
      <c r="A223" s="8"/>
      <c r="XP223" s="7"/>
    </row>
    <row r="224" spans="1:640" ht="18" customHeight="1" x14ac:dyDescent="0.3">
      <c r="A224" s="8"/>
      <c r="XP224" s="7"/>
    </row>
    <row r="225" spans="1:640" ht="18" customHeight="1" x14ac:dyDescent="0.3">
      <c r="A225" s="8"/>
      <c r="XP225" s="7"/>
    </row>
    <row r="226" spans="1:640" ht="18" customHeight="1" x14ac:dyDescent="0.3">
      <c r="A226" s="8"/>
      <c r="XP226" s="7"/>
    </row>
    <row r="227" spans="1:640" ht="18" customHeight="1" x14ac:dyDescent="0.3">
      <c r="A227" s="8"/>
      <c r="XP227" s="7"/>
    </row>
    <row r="228" spans="1:640" ht="18" customHeight="1" x14ac:dyDescent="0.3">
      <c r="A228" s="8"/>
      <c r="XP228" s="7"/>
    </row>
    <row r="229" spans="1:640" ht="18" customHeight="1" x14ac:dyDescent="0.3">
      <c r="A229" s="8"/>
      <c r="XP229" s="7"/>
    </row>
    <row r="230" spans="1:640" ht="18" customHeight="1" x14ac:dyDescent="0.3">
      <c r="A230" s="8"/>
      <c r="XP230" s="7"/>
    </row>
    <row r="231" spans="1:640" ht="18" customHeight="1" x14ac:dyDescent="0.3">
      <c r="A231" s="8"/>
      <c r="XP231" s="7"/>
    </row>
    <row r="232" spans="1:640" ht="18" customHeight="1" x14ac:dyDescent="0.3">
      <c r="A232" s="8"/>
      <c r="XP232" s="7"/>
    </row>
    <row r="233" spans="1:640" ht="18" customHeight="1" x14ac:dyDescent="0.3">
      <c r="A233" s="8"/>
      <c r="XP233" s="7"/>
    </row>
    <row r="234" spans="1:640" ht="18" customHeight="1" x14ac:dyDescent="0.3">
      <c r="A234" s="8"/>
      <c r="XP234" s="7"/>
    </row>
    <row r="235" spans="1:640" ht="18" customHeight="1" x14ac:dyDescent="0.3">
      <c r="A235" s="8"/>
      <c r="XP235" s="7"/>
    </row>
    <row r="236" spans="1:640" ht="18" customHeight="1" x14ac:dyDescent="0.3">
      <c r="A236" s="8"/>
      <c r="XP236" s="7"/>
    </row>
    <row r="237" spans="1:640" ht="18" customHeight="1" x14ac:dyDescent="0.3">
      <c r="A237" s="8"/>
      <c r="XP237" s="7"/>
    </row>
    <row r="238" spans="1:640" ht="18" customHeight="1" x14ac:dyDescent="0.3">
      <c r="A238" s="8"/>
      <c r="XP238" s="7"/>
    </row>
    <row r="239" spans="1:640" ht="18" customHeight="1" x14ac:dyDescent="0.3">
      <c r="A239" s="8"/>
      <c r="XP239" s="7"/>
    </row>
    <row r="240" spans="1:640" ht="18" customHeight="1" x14ac:dyDescent="0.3">
      <c r="A240" s="8"/>
      <c r="XP240" s="7"/>
    </row>
    <row r="241" spans="1:640" ht="18" customHeight="1" x14ac:dyDescent="0.3">
      <c r="A241" s="8"/>
      <c r="XP241" s="7"/>
    </row>
    <row r="242" spans="1:640" ht="18" customHeight="1" x14ac:dyDescent="0.3">
      <c r="A242" s="8"/>
      <c r="XP242" s="7"/>
    </row>
    <row r="243" spans="1:640" ht="18" customHeight="1" x14ac:dyDescent="0.3">
      <c r="A243" s="8"/>
      <c r="XP243" s="7"/>
    </row>
    <row r="244" spans="1:640" ht="18" customHeight="1" x14ac:dyDescent="0.3">
      <c r="A244" s="8"/>
      <c r="XP244" s="7"/>
    </row>
    <row r="245" spans="1:640" ht="18" customHeight="1" x14ac:dyDescent="0.3">
      <c r="A245" s="8"/>
      <c r="XP245" s="7"/>
    </row>
    <row r="246" spans="1:640" ht="18" customHeight="1" x14ac:dyDescent="0.3">
      <c r="A246" s="8"/>
      <c r="XP246" s="7"/>
    </row>
    <row r="247" spans="1:640" ht="18" customHeight="1" x14ac:dyDescent="0.3">
      <c r="A247" s="8"/>
      <c r="XP247" s="7"/>
    </row>
    <row r="248" spans="1:640" ht="18" customHeight="1" x14ac:dyDescent="0.3">
      <c r="A248" s="8"/>
      <c r="XP248" s="7"/>
    </row>
    <row r="249" spans="1:640" ht="18" customHeight="1" x14ac:dyDescent="0.3">
      <c r="A249" s="8"/>
      <c r="XP249" s="7"/>
    </row>
    <row r="250" spans="1:640" ht="18" customHeight="1" x14ac:dyDescent="0.3">
      <c r="A250" s="8"/>
      <c r="XP250" s="7"/>
    </row>
    <row r="251" spans="1:640" ht="18" customHeight="1" x14ac:dyDescent="0.3">
      <c r="A251" s="8"/>
      <c r="XP251" s="7"/>
    </row>
    <row r="252" spans="1:640" ht="18" customHeight="1" x14ac:dyDescent="0.3">
      <c r="A252" s="8"/>
      <c r="XP252" s="7"/>
    </row>
    <row r="253" spans="1:640" ht="18" customHeight="1" x14ac:dyDescent="0.3">
      <c r="A253" s="8"/>
      <c r="XP253" s="7"/>
    </row>
    <row r="254" spans="1:640" ht="18" customHeight="1" x14ac:dyDescent="0.3">
      <c r="A254" s="8"/>
      <c r="XP254" s="7"/>
    </row>
    <row r="255" spans="1:640" ht="18" customHeight="1" x14ac:dyDescent="0.3">
      <c r="A255" s="8"/>
      <c r="XP255" s="7"/>
    </row>
    <row r="256" spans="1:640" ht="18" customHeight="1" x14ac:dyDescent="0.3">
      <c r="A256" s="8"/>
      <c r="XP256" s="7"/>
    </row>
    <row r="257" spans="1:640" ht="18" customHeight="1" x14ac:dyDescent="0.3">
      <c r="A257" s="8"/>
      <c r="XP257" s="7"/>
    </row>
    <row r="258" spans="1:640" ht="18" customHeight="1" x14ac:dyDescent="0.3">
      <c r="A258" s="8"/>
      <c r="XP258" s="7"/>
    </row>
    <row r="259" spans="1:640" ht="18" customHeight="1" x14ac:dyDescent="0.3">
      <c r="A259" s="8"/>
      <c r="XP259" s="7"/>
    </row>
    <row r="260" spans="1:640" ht="18" customHeight="1" x14ac:dyDescent="0.3">
      <c r="A260" s="8"/>
      <c r="XP260" s="7"/>
    </row>
    <row r="261" spans="1:640" ht="18" customHeight="1" x14ac:dyDescent="0.3">
      <c r="A261" s="8"/>
      <c r="XP261" s="7"/>
    </row>
    <row r="262" spans="1:640" ht="18" customHeight="1" x14ac:dyDescent="0.3">
      <c r="A262" s="8"/>
      <c r="XP262" s="7"/>
    </row>
    <row r="263" spans="1:640" ht="18" customHeight="1" x14ac:dyDescent="0.3">
      <c r="A263" s="8"/>
      <c r="XP263" s="7"/>
    </row>
    <row r="264" spans="1:640" ht="18" customHeight="1" x14ac:dyDescent="0.3">
      <c r="A264" s="8"/>
      <c r="XP264" s="7"/>
    </row>
    <row r="265" spans="1:640" ht="18" customHeight="1" x14ac:dyDescent="0.3">
      <c r="A265" s="8"/>
      <c r="XP265" s="7"/>
    </row>
    <row r="266" spans="1:640" ht="18" customHeight="1" x14ac:dyDescent="0.3">
      <c r="A266" s="8"/>
      <c r="XP266" s="7"/>
    </row>
    <row r="267" spans="1:640" ht="18" customHeight="1" x14ac:dyDescent="0.3">
      <c r="A267" s="8"/>
      <c r="XP267" s="7"/>
    </row>
    <row r="268" spans="1:640" ht="18" customHeight="1" x14ac:dyDescent="0.3">
      <c r="A268" s="8"/>
      <c r="XP268" s="7"/>
    </row>
    <row r="269" spans="1:640" ht="18" customHeight="1" x14ac:dyDescent="0.3">
      <c r="A269" s="8"/>
      <c r="XP269" s="7"/>
    </row>
    <row r="270" spans="1:640" ht="18" customHeight="1" x14ac:dyDescent="0.3">
      <c r="A270" s="8"/>
      <c r="XP270" s="7"/>
    </row>
    <row r="271" spans="1:640" ht="18" customHeight="1" x14ac:dyDescent="0.3">
      <c r="A271" s="8"/>
      <c r="XP271" s="7"/>
    </row>
    <row r="272" spans="1:640" ht="18" customHeight="1" x14ac:dyDescent="0.3">
      <c r="A272" s="8"/>
      <c r="XP272" s="7"/>
    </row>
    <row r="273" spans="1:640" ht="18" customHeight="1" x14ac:dyDescent="0.3">
      <c r="A273" s="8"/>
      <c r="XP273" s="7"/>
    </row>
    <row r="274" spans="1:640" ht="18" customHeight="1" x14ac:dyDescent="0.3">
      <c r="A274" s="8"/>
      <c r="XP274" s="7"/>
    </row>
    <row r="275" spans="1:640" ht="18" customHeight="1" x14ac:dyDescent="0.3">
      <c r="A275" s="8"/>
      <c r="XP275" s="7"/>
    </row>
    <row r="276" spans="1:640" ht="18" customHeight="1" x14ac:dyDescent="0.3">
      <c r="A276" s="8"/>
      <c r="XP276" s="7"/>
    </row>
    <row r="277" spans="1:640" ht="18" customHeight="1" x14ac:dyDescent="0.3">
      <c r="A277" s="8"/>
      <c r="XP277" s="7"/>
    </row>
    <row r="278" spans="1:640" ht="18" customHeight="1" x14ac:dyDescent="0.3">
      <c r="A278" s="8"/>
      <c r="XP278" s="7"/>
    </row>
    <row r="279" spans="1:640" ht="18" customHeight="1" x14ac:dyDescent="0.3">
      <c r="A279" s="8"/>
      <c r="XP279" s="7"/>
    </row>
    <row r="280" spans="1:640" ht="18" customHeight="1" x14ac:dyDescent="0.3">
      <c r="A280" s="8"/>
      <c r="XP280" s="7"/>
    </row>
    <row r="281" spans="1:640" ht="18" customHeight="1" x14ac:dyDescent="0.3">
      <c r="A281" s="8"/>
      <c r="XP281" s="7"/>
    </row>
    <row r="282" spans="1:640" ht="18" customHeight="1" x14ac:dyDescent="0.3">
      <c r="A282" s="8"/>
      <c r="XP282" s="7"/>
    </row>
    <row r="283" spans="1:640" ht="18" customHeight="1" x14ac:dyDescent="0.3">
      <c r="A283" s="8"/>
      <c r="XP283" s="7"/>
    </row>
    <row r="284" spans="1:640" ht="18" customHeight="1" x14ac:dyDescent="0.3">
      <c r="A284" s="8"/>
      <c r="XP284" s="7"/>
    </row>
    <row r="285" spans="1:640" ht="18" customHeight="1" x14ac:dyDescent="0.3">
      <c r="A285" s="8"/>
      <c r="XP285" s="7"/>
    </row>
    <row r="286" spans="1:640" ht="18" customHeight="1" x14ac:dyDescent="0.3">
      <c r="A286" s="8"/>
      <c r="XP286" s="7"/>
    </row>
    <row r="287" spans="1:640" ht="18" customHeight="1" x14ac:dyDescent="0.3">
      <c r="A287" s="8"/>
      <c r="XP287" s="7"/>
    </row>
    <row r="288" spans="1:640" ht="18" customHeight="1" x14ac:dyDescent="0.3">
      <c r="A288" s="8"/>
      <c r="XP288" s="7"/>
    </row>
    <row r="289" spans="1:640" ht="18" customHeight="1" x14ac:dyDescent="0.3">
      <c r="A289" s="8"/>
      <c r="XP289" s="7"/>
    </row>
    <row r="290" spans="1:640" ht="18" customHeight="1" x14ac:dyDescent="0.3">
      <c r="A290" s="8"/>
      <c r="XP290" s="7"/>
    </row>
    <row r="291" spans="1:640" ht="18" customHeight="1" x14ac:dyDescent="0.3">
      <c r="A291" s="8"/>
      <c r="XP291" s="7"/>
    </row>
    <row r="292" spans="1:640" ht="18" customHeight="1" x14ac:dyDescent="0.3">
      <c r="A292" s="8"/>
      <c r="XP292" s="7"/>
    </row>
    <row r="293" spans="1:640" ht="18" customHeight="1" x14ac:dyDescent="0.3">
      <c r="A293" s="8"/>
      <c r="XP293" s="7"/>
    </row>
    <row r="294" spans="1:640" ht="18" customHeight="1" x14ac:dyDescent="0.3">
      <c r="A294" s="8"/>
      <c r="XP294" s="7"/>
    </row>
    <row r="295" spans="1:640" ht="18" customHeight="1" x14ac:dyDescent="0.3">
      <c r="A295" s="8"/>
      <c r="XP295" s="7"/>
    </row>
    <row r="296" spans="1:640" ht="18" customHeight="1" x14ac:dyDescent="0.3">
      <c r="A296" s="8"/>
      <c r="XP296" s="7"/>
    </row>
    <row r="297" spans="1:640" ht="18" customHeight="1" x14ac:dyDescent="0.3">
      <c r="A297" s="8"/>
      <c r="XP297" s="7"/>
    </row>
    <row r="298" spans="1:640" ht="18" customHeight="1" x14ac:dyDescent="0.3">
      <c r="A298" s="8"/>
      <c r="XP298" s="7"/>
    </row>
    <row r="299" spans="1:640" ht="18" customHeight="1" x14ac:dyDescent="0.3">
      <c r="A299" s="8"/>
      <c r="XP299" s="7"/>
    </row>
    <row r="300" spans="1:640" ht="18" customHeight="1" x14ac:dyDescent="0.3">
      <c r="A300" s="8"/>
      <c r="XP300" s="7"/>
    </row>
    <row r="301" spans="1:640" ht="18" customHeight="1" x14ac:dyDescent="0.3">
      <c r="A301" s="8"/>
      <c r="XP301" s="7"/>
    </row>
    <row r="302" spans="1:640" ht="18" customHeight="1" x14ac:dyDescent="0.3">
      <c r="A302" s="8"/>
      <c r="XP302" s="7"/>
    </row>
    <row r="303" spans="1:640" ht="18" customHeight="1" x14ac:dyDescent="0.3">
      <c r="A303" s="8"/>
      <c r="XP303" s="7"/>
    </row>
    <row r="304" spans="1:640" ht="18" customHeight="1" x14ac:dyDescent="0.3">
      <c r="A304" s="8"/>
      <c r="XP304" s="7"/>
    </row>
    <row r="305" spans="1:640" ht="18" customHeight="1" x14ac:dyDescent="0.3">
      <c r="A305" s="8"/>
      <c r="XP305" s="7"/>
    </row>
    <row r="306" spans="1:640" ht="18" customHeight="1" x14ac:dyDescent="0.3">
      <c r="A306" s="8"/>
      <c r="XP306" s="7"/>
    </row>
    <row r="307" spans="1:640" ht="18" customHeight="1" x14ac:dyDescent="0.3">
      <c r="A307" s="8"/>
      <c r="XP307" s="7"/>
    </row>
    <row r="308" spans="1:640" ht="18" customHeight="1" x14ac:dyDescent="0.3">
      <c r="A308" s="8"/>
      <c r="XP308" s="7"/>
    </row>
    <row r="309" spans="1:640" ht="18" customHeight="1" x14ac:dyDescent="0.3">
      <c r="A309" s="8"/>
      <c r="XP309" s="7"/>
    </row>
    <row r="310" spans="1:640" ht="18" customHeight="1" x14ac:dyDescent="0.3">
      <c r="A310" s="8"/>
      <c r="XP310" s="7"/>
    </row>
    <row r="311" spans="1:640" ht="18" customHeight="1" x14ac:dyDescent="0.3">
      <c r="A311" s="8"/>
      <c r="XP311" s="7"/>
    </row>
    <row r="312" spans="1:640" ht="18" customHeight="1" x14ac:dyDescent="0.3">
      <c r="A312" s="8"/>
      <c r="XP312" s="7"/>
    </row>
    <row r="313" spans="1:640" ht="18" customHeight="1" x14ac:dyDescent="0.3">
      <c r="A313" s="8"/>
      <c r="XP313" s="7"/>
    </row>
    <row r="314" spans="1:640" ht="18" customHeight="1" x14ac:dyDescent="0.3">
      <c r="A314" s="8"/>
      <c r="XP314" s="7"/>
    </row>
    <row r="315" spans="1:640" ht="18" customHeight="1" x14ac:dyDescent="0.3">
      <c r="A315" s="8"/>
      <c r="XP315" s="7"/>
    </row>
    <row r="316" spans="1:640" ht="18" customHeight="1" x14ac:dyDescent="0.3">
      <c r="A316" s="8"/>
      <c r="XP316" s="7"/>
    </row>
    <row r="317" spans="1:640" ht="18" customHeight="1" x14ac:dyDescent="0.3">
      <c r="A317" s="8"/>
      <c r="XP317" s="7"/>
    </row>
    <row r="318" spans="1:640" ht="18" customHeight="1" x14ac:dyDescent="0.3">
      <c r="A318" s="8"/>
      <c r="XP318" s="7"/>
    </row>
    <row r="319" spans="1:640" ht="18" customHeight="1" x14ac:dyDescent="0.3">
      <c r="A319" s="8"/>
      <c r="XP319" s="7"/>
    </row>
    <row r="320" spans="1:640" ht="18" customHeight="1" x14ac:dyDescent="0.3">
      <c r="A320" s="8"/>
      <c r="XP320" s="7"/>
    </row>
    <row r="321" spans="1:640" ht="18" customHeight="1" x14ac:dyDescent="0.3">
      <c r="A321" s="8"/>
      <c r="XP321" s="7"/>
    </row>
    <row r="322" spans="1:640" ht="18" customHeight="1" x14ac:dyDescent="0.3">
      <c r="A322" s="8"/>
      <c r="XP322" s="7"/>
    </row>
    <row r="323" spans="1:640" ht="18" customHeight="1" x14ac:dyDescent="0.3">
      <c r="A323" s="8"/>
      <c r="XP323" s="7"/>
    </row>
    <row r="324" spans="1:640" ht="18" customHeight="1" x14ac:dyDescent="0.3">
      <c r="A324" s="8"/>
      <c r="XP324" s="7"/>
    </row>
    <row r="325" spans="1:640" ht="18" customHeight="1" x14ac:dyDescent="0.3">
      <c r="A325" s="8"/>
      <c r="XP325" s="7"/>
    </row>
    <row r="326" spans="1:640" ht="18" customHeight="1" x14ac:dyDescent="0.3">
      <c r="A326" s="8"/>
      <c r="XP326" s="7"/>
    </row>
    <row r="327" spans="1:640" ht="18" customHeight="1" x14ac:dyDescent="0.3">
      <c r="A327" s="8"/>
      <c r="XP327" s="7"/>
    </row>
    <row r="328" spans="1:640" ht="18" customHeight="1" x14ac:dyDescent="0.3">
      <c r="A328" s="8"/>
      <c r="XP328" s="7"/>
    </row>
    <row r="329" spans="1:640" ht="18" customHeight="1" x14ac:dyDescent="0.3">
      <c r="A329" s="8"/>
      <c r="XP329" s="7"/>
    </row>
    <row r="330" spans="1:640" ht="18" customHeight="1" x14ac:dyDescent="0.3">
      <c r="A330" s="8"/>
      <c r="XP330" s="7"/>
    </row>
    <row r="331" spans="1:640" ht="18" customHeight="1" x14ac:dyDescent="0.3">
      <c r="A331" s="8"/>
      <c r="XP331" s="7"/>
    </row>
    <row r="332" spans="1:640" ht="18" customHeight="1" x14ac:dyDescent="0.3">
      <c r="A332" s="8"/>
      <c r="XP332" s="7"/>
    </row>
    <row r="333" spans="1:640" ht="18" customHeight="1" x14ac:dyDescent="0.3">
      <c r="A333" s="8"/>
      <c r="XP333" s="7"/>
    </row>
    <row r="334" spans="1:640" ht="18" customHeight="1" x14ac:dyDescent="0.3">
      <c r="A334" s="8"/>
      <c r="XP334" s="7"/>
    </row>
    <row r="335" spans="1:640" ht="18" customHeight="1" x14ac:dyDescent="0.3">
      <c r="A335" s="8"/>
      <c r="XP335" s="7"/>
    </row>
    <row r="336" spans="1:640" ht="18" customHeight="1" x14ac:dyDescent="0.3">
      <c r="A336" s="8"/>
      <c r="XP336" s="7"/>
    </row>
    <row r="337" spans="1:640" ht="18" customHeight="1" x14ac:dyDescent="0.3">
      <c r="A337" s="8"/>
      <c r="XP337" s="7"/>
    </row>
    <row r="338" spans="1:640" ht="18" customHeight="1" x14ac:dyDescent="0.3">
      <c r="A338" s="8"/>
      <c r="XP338" s="7"/>
    </row>
    <row r="339" spans="1:640" ht="18" customHeight="1" x14ac:dyDescent="0.3">
      <c r="A339" s="8"/>
      <c r="XP339" s="7"/>
    </row>
    <row r="340" spans="1:640" ht="18" customHeight="1" x14ac:dyDescent="0.3">
      <c r="A340" s="8"/>
      <c r="XP340" s="7"/>
    </row>
    <row r="341" spans="1:640" ht="18" customHeight="1" x14ac:dyDescent="0.3">
      <c r="A341" s="8"/>
      <c r="XP341" s="7"/>
    </row>
    <row r="342" spans="1:640" ht="18" customHeight="1" x14ac:dyDescent="0.3">
      <c r="A342" s="8"/>
      <c r="XP342" s="7"/>
    </row>
    <row r="343" spans="1:640" ht="18" customHeight="1" x14ac:dyDescent="0.3">
      <c r="A343" s="8"/>
      <c r="XP343" s="7"/>
    </row>
    <row r="344" spans="1:640" ht="18" customHeight="1" x14ac:dyDescent="0.3">
      <c r="A344" s="8"/>
      <c r="XP344" s="7"/>
    </row>
    <row r="345" spans="1:640" ht="18" customHeight="1" x14ac:dyDescent="0.3">
      <c r="A345" s="8"/>
      <c r="XP345" s="7"/>
    </row>
    <row r="346" spans="1:640" ht="18" customHeight="1" x14ac:dyDescent="0.3">
      <c r="A346" s="8"/>
      <c r="XP346" s="7"/>
    </row>
    <row r="347" spans="1:640" ht="18" customHeight="1" x14ac:dyDescent="0.3">
      <c r="A347" s="8"/>
      <c r="XP347" s="7"/>
    </row>
    <row r="348" spans="1:640" ht="18" customHeight="1" x14ac:dyDescent="0.3">
      <c r="A348" s="8"/>
      <c r="XP348" s="7"/>
    </row>
    <row r="349" spans="1:640" ht="18" customHeight="1" x14ac:dyDescent="0.3">
      <c r="A349" s="8"/>
      <c r="XP349" s="7"/>
    </row>
    <row r="350" spans="1:640" ht="18" customHeight="1" x14ac:dyDescent="0.3">
      <c r="A350" s="8"/>
      <c r="XP350" s="7"/>
    </row>
    <row r="351" spans="1:640" ht="18" customHeight="1" x14ac:dyDescent="0.3">
      <c r="A351" s="8"/>
      <c r="XP351" s="7"/>
    </row>
    <row r="352" spans="1:640" ht="18" customHeight="1" x14ac:dyDescent="0.3">
      <c r="A352" s="8"/>
      <c r="XP352" s="7"/>
    </row>
    <row r="353" spans="1:640" ht="18" customHeight="1" x14ac:dyDescent="0.3">
      <c r="A353" s="8"/>
      <c r="XP353" s="7"/>
    </row>
    <row r="354" spans="1:640" ht="18" customHeight="1" x14ac:dyDescent="0.3">
      <c r="A354" s="8"/>
      <c r="XP354" s="7"/>
    </row>
    <row r="355" spans="1:640" ht="18" customHeight="1" x14ac:dyDescent="0.3">
      <c r="A355" s="8"/>
      <c r="XP355" s="7"/>
    </row>
    <row r="356" spans="1:640" ht="18" customHeight="1" x14ac:dyDescent="0.3">
      <c r="A356" s="8"/>
      <c r="XP356" s="7"/>
    </row>
    <row r="357" spans="1:640" ht="18" customHeight="1" x14ac:dyDescent="0.3">
      <c r="A357" s="8"/>
      <c r="XP357" s="7"/>
    </row>
    <row r="358" spans="1:640" ht="18" customHeight="1" x14ac:dyDescent="0.3">
      <c r="A358" s="8"/>
      <c r="XP358" s="7"/>
    </row>
    <row r="359" spans="1:640" ht="18" customHeight="1" x14ac:dyDescent="0.3">
      <c r="A359" s="8"/>
      <c r="XP359" s="7"/>
    </row>
    <row r="360" spans="1:640" ht="18" customHeight="1" x14ac:dyDescent="0.3">
      <c r="A360" s="8"/>
      <c r="XP360" s="7"/>
    </row>
    <row r="361" spans="1:640" ht="18" customHeight="1" x14ac:dyDescent="0.3">
      <c r="A361" s="8"/>
      <c r="XP361" s="7"/>
    </row>
    <row r="362" spans="1:640" ht="18" customHeight="1" x14ac:dyDescent="0.3">
      <c r="A362" s="8"/>
      <c r="XP362" s="7"/>
    </row>
    <row r="363" spans="1:640" ht="18" customHeight="1" x14ac:dyDescent="0.3">
      <c r="A363" s="8"/>
      <c r="XP363" s="7"/>
    </row>
    <row r="364" spans="1:640" ht="18" customHeight="1" x14ac:dyDescent="0.3">
      <c r="A364" s="8"/>
      <c r="XP364" s="7"/>
    </row>
    <row r="365" spans="1:640" ht="18" customHeight="1" x14ac:dyDescent="0.3">
      <c r="A365" s="8"/>
      <c r="XP365" s="7"/>
    </row>
    <row r="366" spans="1:640" ht="18" customHeight="1" x14ac:dyDescent="0.3">
      <c r="A366" s="8"/>
      <c r="XP366" s="7"/>
    </row>
    <row r="367" spans="1:640" ht="18" customHeight="1" x14ac:dyDescent="0.3">
      <c r="A367" s="8"/>
      <c r="XP367" s="7"/>
    </row>
    <row r="368" spans="1:640" ht="18" customHeight="1" x14ac:dyDescent="0.3">
      <c r="A368" s="8"/>
      <c r="XP368" s="7"/>
    </row>
    <row r="369" spans="1:640" ht="18" customHeight="1" x14ac:dyDescent="0.3">
      <c r="A369" s="8"/>
      <c r="XP369" s="7"/>
    </row>
    <row r="370" spans="1:640" ht="18" customHeight="1" x14ac:dyDescent="0.3">
      <c r="A370" s="8"/>
      <c r="XP370" s="7"/>
    </row>
    <row r="371" spans="1:640" ht="18" customHeight="1" x14ac:dyDescent="0.3">
      <c r="A371" s="8"/>
      <c r="XP371" s="7"/>
    </row>
    <row r="372" spans="1:640" ht="18" customHeight="1" x14ac:dyDescent="0.3">
      <c r="A372" s="8"/>
      <c r="XP372" s="7"/>
    </row>
    <row r="373" spans="1:640" ht="18" customHeight="1" x14ac:dyDescent="0.3">
      <c r="A373" s="8"/>
      <c r="XP373" s="7"/>
    </row>
    <row r="374" spans="1:640" ht="18" customHeight="1" x14ac:dyDescent="0.3">
      <c r="A374" s="8"/>
      <c r="XP374" s="7"/>
    </row>
    <row r="375" spans="1:640" ht="18" customHeight="1" x14ac:dyDescent="0.3">
      <c r="A375" s="8"/>
      <c r="XP375" s="7"/>
    </row>
    <row r="376" spans="1:640" ht="18" customHeight="1" x14ac:dyDescent="0.3">
      <c r="A376" s="8"/>
      <c r="XP376" s="7"/>
    </row>
    <row r="377" spans="1:640" ht="18" customHeight="1" x14ac:dyDescent="0.3">
      <c r="A377" s="8"/>
      <c r="XP377" s="7"/>
    </row>
    <row r="378" spans="1:640" ht="18" customHeight="1" x14ac:dyDescent="0.3">
      <c r="A378" s="8"/>
      <c r="XP378" s="7"/>
    </row>
    <row r="379" spans="1:640" ht="18" customHeight="1" x14ac:dyDescent="0.3">
      <c r="A379" s="8"/>
      <c r="XP379" s="7"/>
    </row>
    <row r="380" spans="1:640" ht="18" customHeight="1" x14ac:dyDescent="0.3">
      <c r="A380" s="8"/>
      <c r="XP380" s="7"/>
    </row>
    <row r="381" spans="1:640" ht="18" customHeight="1" x14ac:dyDescent="0.3">
      <c r="A381" s="8"/>
      <c r="XP381" s="7"/>
    </row>
    <row r="382" spans="1:640" ht="18" customHeight="1" x14ac:dyDescent="0.3">
      <c r="A382" s="8"/>
      <c r="XP382" s="7"/>
    </row>
    <row r="383" spans="1:640" ht="18" customHeight="1" x14ac:dyDescent="0.3">
      <c r="A383" s="8"/>
      <c r="XP383" s="7"/>
    </row>
    <row r="384" spans="1:640" ht="18" customHeight="1" x14ac:dyDescent="0.3">
      <c r="A384" s="8"/>
      <c r="XP384" s="7"/>
    </row>
    <row r="385" spans="1:640" ht="18" customHeight="1" x14ac:dyDescent="0.3">
      <c r="A385" s="8"/>
      <c r="XP385" s="7"/>
    </row>
    <row r="386" spans="1:640" ht="18" customHeight="1" x14ac:dyDescent="0.3">
      <c r="A386" s="8"/>
      <c r="XP386" s="7"/>
    </row>
    <row r="387" spans="1:640" ht="18" customHeight="1" x14ac:dyDescent="0.3">
      <c r="A387" s="8"/>
      <c r="XP387" s="7"/>
    </row>
    <row r="388" spans="1:640" ht="18" customHeight="1" x14ac:dyDescent="0.3">
      <c r="A388" s="8"/>
      <c r="XP388" s="7"/>
    </row>
    <row r="389" spans="1:640" ht="18" customHeight="1" x14ac:dyDescent="0.3">
      <c r="A389" s="8"/>
      <c r="XP389" s="7"/>
    </row>
    <row r="390" spans="1:640" ht="18" customHeight="1" x14ac:dyDescent="0.3">
      <c r="A390" s="8"/>
      <c r="XP390" s="7"/>
    </row>
    <row r="391" spans="1:640" ht="18" customHeight="1" x14ac:dyDescent="0.3">
      <c r="A391" s="8"/>
      <c r="XP391" s="7"/>
    </row>
    <row r="392" spans="1:640" ht="18" customHeight="1" x14ac:dyDescent="0.3">
      <c r="A392" s="8"/>
      <c r="XP392" s="7"/>
    </row>
    <row r="393" spans="1:640" ht="18" customHeight="1" x14ac:dyDescent="0.3">
      <c r="A393" s="8"/>
      <c r="XP393" s="7"/>
    </row>
    <row r="394" spans="1:640" ht="18" customHeight="1" x14ac:dyDescent="0.3">
      <c r="A394" s="8"/>
      <c r="XP394" s="7"/>
    </row>
    <row r="395" spans="1:640" ht="18" customHeight="1" x14ac:dyDescent="0.3">
      <c r="A395" s="8"/>
      <c r="XP395" s="7"/>
    </row>
    <row r="396" spans="1:640" ht="18" customHeight="1" x14ac:dyDescent="0.3">
      <c r="A396" s="8"/>
      <c r="XP396" s="7"/>
    </row>
    <row r="397" spans="1:640" ht="18" customHeight="1" x14ac:dyDescent="0.3">
      <c r="A397" s="8"/>
      <c r="XP397" s="7"/>
    </row>
    <row r="398" spans="1:640" ht="18" customHeight="1" x14ac:dyDescent="0.3">
      <c r="A398" s="8"/>
      <c r="XP398" s="7"/>
    </row>
    <row r="399" spans="1:640" ht="18" customHeight="1" x14ac:dyDescent="0.3">
      <c r="A399" s="8"/>
      <c r="XP399" s="7"/>
    </row>
    <row r="400" spans="1:640" ht="18" customHeight="1" x14ac:dyDescent="0.3">
      <c r="A400" s="8"/>
      <c r="XP400" s="7"/>
    </row>
    <row r="401" spans="1:640" ht="18" customHeight="1" x14ac:dyDescent="0.3">
      <c r="A401" s="8"/>
      <c r="XP401" s="7"/>
    </row>
    <row r="402" spans="1:640" ht="18" customHeight="1" x14ac:dyDescent="0.3">
      <c r="A402" s="8"/>
      <c r="XP402" s="7"/>
    </row>
    <row r="403" spans="1:640" ht="18" customHeight="1" x14ac:dyDescent="0.3">
      <c r="A403" s="8"/>
      <c r="XP403" s="7"/>
    </row>
    <row r="404" spans="1:640" ht="18" customHeight="1" x14ac:dyDescent="0.3">
      <c r="A404" s="8"/>
      <c r="XP404" s="7"/>
    </row>
    <row r="405" spans="1:640" ht="18" customHeight="1" x14ac:dyDescent="0.3">
      <c r="A405" s="8"/>
      <c r="XP405" s="7"/>
    </row>
    <row r="406" spans="1:640" ht="18" customHeight="1" x14ac:dyDescent="0.3">
      <c r="A406" s="8"/>
      <c r="XP406" s="7"/>
    </row>
    <row r="407" spans="1:640" ht="18" customHeight="1" x14ac:dyDescent="0.3">
      <c r="A407" s="8"/>
      <c r="XP407" s="7"/>
    </row>
    <row r="408" spans="1:640" ht="18" customHeight="1" x14ac:dyDescent="0.3">
      <c r="A408" s="8"/>
      <c r="XP408" s="7"/>
    </row>
    <row r="409" spans="1:640" ht="18" customHeight="1" x14ac:dyDescent="0.3">
      <c r="A409" s="8"/>
      <c r="XP409" s="7"/>
    </row>
    <row r="410" spans="1:640" ht="18" customHeight="1" x14ac:dyDescent="0.3">
      <c r="A410" s="8"/>
      <c r="XP410" s="7"/>
    </row>
    <row r="411" spans="1:640" ht="18" customHeight="1" x14ac:dyDescent="0.3">
      <c r="A411" s="8"/>
      <c r="XP411" s="7"/>
    </row>
    <row r="412" spans="1:640" ht="18" customHeight="1" x14ac:dyDescent="0.3">
      <c r="A412" s="8"/>
      <c r="XP412" s="7"/>
    </row>
    <row r="413" spans="1:640" ht="18" customHeight="1" x14ac:dyDescent="0.3">
      <c r="A413" s="8"/>
      <c r="XP413" s="7"/>
    </row>
    <row r="414" spans="1:640" ht="18" customHeight="1" x14ac:dyDescent="0.3">
      <c r="A414" s="8"/>
      <c r="XP414" s="7"/>
    </row>
    <row r="415" spans="1:640" ht="18" customHeight="1" x14ac:dyDescent="0.3">
      <c r="A415" s="8"/>
      <c r="XP415" s="7"/>
    </row>
    <row r="416" spans="1:640" ht="18" customHeight="1" x14ac:dyDescent="0.3">
      <c r="A416" s="8"/>
      <c r="XP416" s="7"/>
    </row>
    <row r="417" spans="1:640" ht="18" customHeight="1" x14ac:dyDescent="0.3">
      <c r="A417" s="8"/>
      <c r="XP417" s="7"/>
    </row>
    <row r="418" spans="1:640" ht="18" customHeight="1" x14ac:dyDescent="0.3">
      <c r="A418" s="8"/>
      <c r="XP418" s="7"/>
    </row>
    <row r="419" spans="1:640" ht="18" customHeight="1" x14ac:dyDescent="0.3">
      <c r="A419" s="8"/>
      <c r="XP419" s="7"/>
    </row>
    <row r="420" spans="1:640" ht="18" customHeight="1" x14ac:dyDescent="0.3">
      <c r="A420" s="8"/>
      <c r="XP420" s="7"/>
    </row>
    <row r="421" spans="1:640" ht="18" customHeight="1" x14ac:dyDescent="0.3">
      <c r="A421" s="8"/>
      <c r="XP421" s="7"/>
    </row>
    <row r="422" spans="1:640" ht="18" customHeight="1" x14ac:dyDescent="0.3">
      <c r="A422" s="8"/>
      <c r="XP422" s="7"/>
    </row>
    <row r="423" spans="1:640" ht="18" customHeight="1" x14ac:dyDescent="0.3">
      <c r="A423" s="8"/>
      <c r="XP423" s="7"/>
    </row>
    <row r="424" spans="1:640" ht="18" customHeight="1" x14ac:dyDescent="0.3">
      <c r="A424" s="8"/>
      <c r="XP424" s="7"/>
    </row>
    <row r="425" spans="1:640" ht="18" customHeight="1" x14ac:dyDescent="0.3">
      <c r="A425" s="8"/>
      <c r="XP425" s="7"/>
    </row>
    <row r="426" spans="1:640" ht="18" customHeight="1" x14ac:dyDescent="0.3">
      <c r="A426" s="8"/>
      <c r="XP426" s="7"/>
    </row>
    <row r="427" spans="1:640" ht="18" customHeight="1" x14ac:dyDescent="0.3">
      <c r="A427" s="8"/>
      <c r="XP427" s="7"/>
    </row>
    <row r="428" spans="1:640" ht="18" customHeight="1" x14ac:dyDescent="0.3">
      <c r="A428" s="8"/>
      <c r="XP428" s="7"/>
    </row>
    <row r="429" spans="1:640" ht="18" customHeight="1" x14ac:dyDescent="0.3">
      <c r="A429" s="8"/>
      <c r="XP429" s="7"/>
    </row>
    <row r="430" spans="1:640" ht="18" customHeight="1" x14ac:dyDescent="0.3">
      <c r="A430" s="8"/>
      <c r="XP430" s="7"/>
    </row>
    <row r="431" spans="1:640" ht="18" customHeight="1" x14ac:dyDescent="0.3">
      <c r="A431" s="8"/>
      <c r="XP431" s="7"/>
    </row>
    <row r="432" spans="1:640" ht="18" customHeight="1" x14ac:dyDescent="0.3">
      <c r="A432" s="8"/>
      <c r="XP432" s="7"/>
    </row>
    <row r="433" spans="1:640" ht="18" customHeight="1" x14ac:dyDescent="0.3">
      <c r="A433" s="8"/>
      <c r="XP433" s="7"/>
    </row>
    <row r="434" spans="1:640" ht="18" customHeight="1" x14ac:dyDescent="0.3">
      <c r="A434" s="8"/>
      <c r="XP434" s="7"/>
    </row>
    <row r="435" spans="1:640" ht="18" customHeight="1" x14ac:dyDescent="0.3">
      <c r="A435" s="8"/>
      <c r="XP435" s="7"/>
    </row>
    <row r="436" spans="1:640" ht="18" customHeight="1" x14ac:dyDescent="0.3">
      <c r="A436" s="8"/>
      <c r="XP436" s="7"/>
    </row>
    <row r="437" spans="1:640" ht="18" customHeight="1" x14ac:dyDescent="0.3">
      <c r="A437" s="8"/>
      <c r="XP437" s="7"/>
    </row>
    <row r="438" spans="1:640" ht="18" customHeight="1" x14ac:dyDescent="0.3">
      <c r="A438" s="8"/>
      <c r="XP438" s="7"/>
    </row>
    <row r="439" spans="1:640" ht="18" customHeight="1" x14ac:dyDescent="0.3">
      <c r="A439" s="8"/>
      <c r="XP439" s="7"/>
    </row>
    <row r="440" spans="1:640" ht="18" customHeight="1" x14ac:dyDescent="0.3">
      <c r="A440" s="8"/>
      <c r="XP440" s="7"/>
    </row>
    <row r="441" spans="1:640" ht="18" customHeight="1" x14ac:dyDescent="0.3">
      <c r="A441" s="8"/>
      <c r="XP441" s="7"/>
    </row>
    <row r="442" spans="1:640" ht="18" customHeight="1" x14ac:dyDescent="0.3">
      <c r="A442" s="8"/>
      <c r="XP442" s="7"/>
    </row>
    <row r="443" spans="1:640" ht="18" customHeight="1" x14ac:dyDescent="0.3">
      <c r="A443" s="8"/>
      <c r="XP443" s="7"/>
    </row>
    <row r="444" spans="1:640" ht="18" customHeight="1" x14ac:dyDescent="0.3">
      <c r="A444" s="8"/>
      <c r="XP444" s="7"/>
    </row>
    <row r="445" spans="1:640" ht="18" customHeight="1" x14ac:dyDescent="0.3">
      <c r="A445" s="8"/>
      <c r="XP445" s="7"/>
    </row>
    <row r="446" spans="1:640" ht="18" customHeight="1" x14ac:dyDescent="0.3">
      <c r="A446" s="8"/>
      <c r="XP446" s="7"/>
    </row>
    <row r="447" spans="1:640" ht="18" customHeight="1" x14ac:dyDescent="0.3">
      <c r="A447" s="8"/>
      <c r="XP447" s="7"/>
    </row>
    <row r="448" spans="1:640" ht="18" customHeight="1" x14ac:dyDescent="0.3">
      <c r="A448" s="8"/>
      <c r="XP448" s="7"/>
    </row>
    <row r="449" spans="1:640" ht="18" customHeight="1" x14ac:dyDescent="0.3">
      <c r="A449" s="8"/>
      <c r="XP449" s="7"/>
    </row>
    <row r="450" spans="1:640" ht="18" customHeight="1" x14ac:dyDescent="0.3">
      <c r="A450" s="8"/>
      <c r="XP450" s="7"/>
    </row>
    <row r="451" spans="1:640" ht="18" customHeight="1" x14ac:dyDescent="0.3">
      <c r="A451" s="8"/>
      <c r="XP451" s="7"/>
    </row>
    <row r="452" spans="1:640" ht="18" customHeight="1" x14ac:dyDescent="0.3">
      <c r="A452" s="8"/>
      <c r="XP452" s="7"/>
    </row>
    <row r="453" spans="1:640" ht="18" customHeight="1" x14ac:dyDescent="0.3">
      <c r="A453" s="8"/>
      <c r="XP453" s="7"/>
    </row>
    <row r="454" spans="1:640" ht="18" customHeight="1" x14ac:dyDescent="0.3">
      <c r="A454" s="8"/>
      <c r="XP454" s="7"/>
    </row>
    <row r="455" spans="1:640" ht="18" customHeight="1" x14ac:dyDescent="0.3">
      <c r="A455" s="8"/>
      <c r="XP455" s="7"/>
    </row>
    <row r="456" spans="1:640" ht="18" customHeight="1" x14ac:dyDescent="0.3">
      <c r="A456" s="8"/>
      <c r="XP456" s="7"/>
    </row>
    <row r="457" spans="1:640" ht="18" customHeight="1" x14ac:dyDescent="0.3">
      <c r="A457" s="8"/>
      <c r="XP457" s="7"/>
    </row>
    <row r="458" spans="1:640" ht="18" customHeight="1" x14ac:dyDescent="0.3">
      <c r="A458" s="8"/>
      <c r="XP458" s="7"/>
    </row>
    <row r="459" spans="1:640" ht="18" customHeight="1" x14ac:dyDescent="0.3">
      <c r="A459" s="8"/>
      <c r="XP459" s="7"/>
    </row>
    <row r="460" spans="1:640" ht="18" customHeight="1" x14ac:dyDescent="0.3">
      <c r="A460" s="8"/>
      <c r="XP460" s="7"/>
    </row>
    <row r="461" spans="1:640" ht="18" customHeight="1" x14ac:dyDescent="0.3">
      <c r="A461" s="8"/>
      <c r="XP461" s="7"/>
    </row>
    <row r="462" spans="1:640" ht="18" customHeight="1" x14ac:dyDescent="0.3">
      <c r="A462" s="8"/>
      <c r="XP462" s="7"/>
    </row>
    <row r="463" spans="1:640" ht="18" customHeight="1" x14ac:dyDescent="0.3">
      <c r="A463" s="8"/>
      <c r="XP463" s="7"/>
    </row>
    <row r="464" spans="1:640" ht="18" customHeight="1" x14ac:dyDescent="0.3">
      <c r="A464" s="8"/>
      <c r="XP464" s="7"/>
    </row>
    <row r="465" spans="1:640" ht="18" customHeight="1" x14ac:dyDescent="0.3">
      <c r="A465" s="8"/>
      <c r="XP465" s="7"/>
    </row>
    <row r="466" spans="1:640" ht="18" customHeight="1" x14ac:dyDescent="0.3">
      <c r="A466" s="8"/>
      <c r="XP466" s="7"/>
    </row>
    <row r="467" spans="1:640" ht="18" customHeight="1" x14ac:dyDescent="0.3">
      <c r="A467" s="8"/>
      <c r="XP467" s="7"/>
    </row>
    <row r="468" spans="1:640" ht="18" customHeight="1" x14ac:dyDescent="0.3">
      <c r="A468" s="8"/>
      <c r="XP468" s="7"/>
    </row>
    <row r="469" spans="1:640" ht="18" customHeight="1" x14ac:dyDescent="0.3">
      <c r="A469" s="8"/>
      <c r="XP469" s="7"/>
    </row>
    <row r="470" spans="1:640" ht="18" customHeight="1" x14ac:dyDescent="0.3">
      <c r="A470" s="8"/>
      <c r="XP470" s="7"/>
    </row>
    <row r="471" spans="1:640" ht="18" customHeight="1" x14ac:dyDescent="0.3">
      <c r="A471" s="8"/>
      <c r="XP471" s="7"/>
    </row>
    <row r="472" spans="1:640" ht="18" customHeight="1" x14ac:dyDescent="0.3">
      <c r="A472" s="8"/>
      <c r="XP472" s="7"/>
    </row>
    <row r="473" spans="1:640" ht="18" customHeight="1" x14ac:dyDescent="0.3">
      <c r="A473" s="8"/>
      <c r="XP473" s="7"/>
    </row>
    <row r="474" spans="1:640" ht="18" customHeight="1" x14ac:dyDescent="0.3">
      <c r="A474" s="8"/>
      <c r="XP474" s="7"/>
    </row>
    <row r="475" spans="1:640" ht="18" customHeight="1" x14ac:dyDescent="0.3">
      <c r="A475" s="8"/>
      <c r="XP475" s="7"/>
    </row>
    <row r="476" spans="1:640" ht="18" customHeight="1" x14ac:dyDescent="0.3">
      <c r="A476" s="8"/>
      <c r="XP476" s="7"/>
    </row>
    <row r="477" spans="1:640" ht="18" customHeight="1" x14ac:dyDescent="0.3">
      <c r="A477" s="8"/>
      <c r="XP477" s="7"/>
    </row>
    <row r="478" spans="1:640" ht="18" customHeight="1" x14ac:dyDescent="0.3">
      <c r="A478" s="8"/>
      <c r="XP478" s="7"/>
    </row>
    <row r="479" spans="1:640" ht="18" customHeight="1" x14ac:dyDescent="0.3">
      <c r="A479" s="8"/>
      <c r="XP479" s="7"/>
    </row>
    <row r="480" spans="1:640" ht="18" customHeight="1" thickBot="1" x14ac:dyDescent="0.35">
      <c r="A480" s="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  <c r="EM480" s="10"/>
      <c r="EN480" s="10"/>
      <c r="EO480" s="10"/>
      <c r="EP480" s="10"/>
      <c r="EQ480" s="10"/>
      <c r="ER480" s="10"/>
      <c r="ES480" s="10"/>
      <c r="ET480" s="10"/>
      <c r="EU480" s="10"/>
      <c r="EV480" s="10"/>
      <c r="EW480" s="10"/>
      <c r="EX480" s="10"/>
      <c r="EY480" s="10"/>
      <c r="EZ480" s="10"/>
      <c r="FA480" s="10"/>
      <c r="FB480" s="10"/>
      <c r="FC480" s="10"/>
      <c r="FD480" s="10"/>
      <c r="FE480" s="10"/>
      <c r="FF480" s="10"/>
      <c r="FG480" s="10"/>
      <c r="FH480" s="10"/>
      <c r="FI480" s="10"/>
      <c r="FJ480" s="10"/>
      <c r="FK480" s="10"/>
      <c r="FL480" s="10"/>
      <c r="FM480" s="10"/>
      <c r="FN480" s="10"/>
      <c r="FO480" s="10"/>
      <c r="FP480" s="10"/>
      <c r="FQ480" s="10"/>
      <c r="FR480" s="10"/>
      <c r="FS480" s="10"/>
      <c r="FT480" s="10"/>
      <c r="FU480" s="10"/>
      <c r="FV480" s="10"/>
      <c r="FW480" s="10"/>
      <c r="FX480" s="10"/>
      <c r="FY480" s="10"/>
      <c r="FZ480" s="10"/>
      <c r="GA480" s="10"/>
      <c r="GB480" s="10"/>
      <c r="GC480" s="10"/>
      <c r="GD480" s="10"/>
      <c r="GE480" s="10"/>
      <c r="GF480" s="10"/>
      <c r="GG480" s="10"/>
      <c r="GH480" s="10"/>
      <c r="GI480" s="10"/>
      <c r="GJ480" s="10"/>
      <c r="GK480" s="10"/>
      <c r="GL480" s="10"/>
      <c r="GM480" s="10"/>
      <c r="GN480" s="10"/>
      <c r="GO480" s="10"/>
      <c r="GP480" s="10"/>
      <c r="GQ480" s="10"/>
      <c r="GR480" s="10"/>
      <c r="GS480" s="10"/>
      <c r="GT480" s="10"/>
      <c r="GU480" s="10"/>
      <c r="GV480" s="10"/>
      <c r="GW480" s="10"/>
      <c r="GX480" s="10"/>
      <c r="GY480" s="10"/>
      <c r="GZ480" s="10"/>
      <c r="HA480" s="10"/>
      <c r="HB480" s="10"/>
      <c r="HC480" s="10"/>
      <c r="HD480" s="10"/>
      <c r="HE480" s="10"/>
      <c r="HF480" s="10"/>
      <c r="HG480" s="10"/>
      <c r="HH480" s="10"/>
      <c r="HI480" s="10"/>
      <c r="HJ480" s="10"/>
      <c r="HK480" s="10"/>
      <c r="HL480" s="10"/>
      <c r="HM480" s="10"/>
      <c r="HN480" s="10"/>
      <c r="HO480" s="10"/>
      <c r="HP480" s="10"/>
      <c r="HQ480" s="10"/>
      <c r="HR480" s="10"/>
      <c r="HS480" s="10"/>
      <c r="HT480" s="10"/>
      <c r="HU480" s="10"/>
      <c r="HV480" s="10"/>
      <c r="HW480" s="10"/>
      <c r="HX480" s="10"/>
      <c r="HY480" s="10"/>
      <c r="HZ480" s="10"/>
      <c r="IA480" s="10"/>
      <c r="IB480" s="10"/>
      <c r="IC480" s="10"/>
      <c r="ID480" s="10"/>
      <c r="IE480" s="10"/>
      <c r="IF480" s="10"/>
      <c r="IG480" s="10"/>
      <c r="IH480" s="10"/>
      <c r="II480" s="10"/>
      <c r="IJ480" s="10"/>
      <c r="IK480" s="10"/>
      <c r="IL480" s="10"/>
      <c r="IM480" s="10"/>
      <c r="IN480" s="10"/>
      <c r="IO480" s="10"/>
      <c r="IP480" s="10"/>
      <c r="IQ480" s="10"/>
      <c r="IR480" s="10"/>
      <c r="IS480" s="10"/>
      <c r="IT480" s="10"/>
      <c r="IU480" s="10"/>
      <c r="IV480" s="10"/>
      <c r="IW480" s="10"/>
      <c r="IX480" s="10"/>
      <c r="IY480" s="10"/>
      <c r="IZ480" s="10"/>
      <c r="JA480" s="10"/>
      <c r="JB480" s="10"/>
      <c r="JC480" s="10"/>
      <c r="JD480" s="10"/>
      <c r="JE480" s="10"/>
      <c r="JF480" s="10"/>
      <c r="JG480" s="10"/>
      <c r="JH480" s="10"/>
      <c r="JI480" s="10"/>
      <c r="JJ480" s="10"/>
      <c r="JK480" s="10"/>
      <c r="JL480" s="10"/>
      <c r="JM480" s="10"/>
      <c r="JN480" s="10"/>
      <c r="JO480" s="10"/>
      <c r="JP480" s="10"/>
      <c r="JQ480" s="10"/>
      <c r="JR480" s="10"/>
      <c r="JS480" s="10"/>
      <c r="JT480" s="10"/>
      <c r="JU480" s="10"/>
      <c r="JV480" s="10"/>
      <c r="JW480" s="10"/>
      <c r="JX480" s="10"/>
      <c r="JY480" s="10"/>
      <c r="JZ480" s="10"/>
      <c r="KA480" s="10"/>
      <c r="KB480" s="10"/>
      <c r="KC480" s="10"/>
      <c r="KD480" s="10"/>
      <c r="KE480" s="10"/>
      <c r="KF480" s="10"/>
      <c r="KG480" s="10"/>
      <c r="KH480" s="10"/>
      <c r="KI480" s="10"/>
      <c r="KJ480" s="10"/>
      <c r="KK480" s="10"/>
      <c r="KL480" s="10"/>
      <c r="KM480" s="10"/>
      <c r="KN480" s="10"/>
      <c r="KO480" s="10"/>
      <c r="KP480" s="10"/>
      <c r="KQ480" s="10"/>
      <c r="KR480" s="10"/>
      <c r="KS480" s="10"/>
      <c r="KT480" s="10"/>
      <c r="KU480" s="10"/>
      <c r="KV480" s="10"/>
      <c r="KW480" s="10"/>
      <c r="KX480" s="10"/>
      <c r="KY480" s="10"/>
      <c r="KZ480" s="10"/>
      <c r="LA480" s="10"/>
      <c r="LB480" s="10"/>
      <c r="LC480" s="10"/>
      <c r="LD480" s="10"/>
      <c r="LE480" s="10"/>
      <c r="LF480" s="10"/>
      <c r="LG480" s="10"/>
      <c r="LH480" s="10"/>
      <c r="LI480" s="10"/>
      <c r="LJ480" s="10"/>
      <c r="LK480" s="10"/>
      <c r="LL480" s="10"/>
      <c r="LM480" s="10"/>
      <c r="LN480" s="10"/>
      <c r="LO480" s="10"/>
      <c r="LP480" s="10"/>
      <c r="LQ480" s="10"/>
      <c r="LR480" s="10"/>
      <c r="LS480" s="10"/>
      <c r="LT480" s="10"/>
      <c r="LU480" s="10"/>
      <c r="LV480" s="10"/>
      <c r="LW480" s="10"/>
      <c r="LX480" s="10"/>
      <c r="LY480" s="10"/>
      <c r="LZ480" s="10"/>
      <c r="MA480" s="10"/>
      <c r="MB480" s="10"/>
      <c r="MC480" s="10"/>
      <c r="MD480" s="10"/>
      <c r="ME480" s="10"/>
      <c r="MF480" s="10"/>
      <c r="MG480" s="10"/>
      <c r="MH480" s="10"/>
      <c r="MI480" s="10"/>
      <c r="MJ480" s="10"/>
      <c r="MK480" s="10"/>
      <c r="ML480" s="10"/>
      <c r="MM480" s="10"/>
      <c r="MN480" s="10"/>
      <c r="MO480" s="10"/>
      <c r="MP480" s="10"/>
      <c r="MQ480" s="10"/>
      <c r="MR480" s="10"/>
      <c r="MS480" s="10"/>
      <c r="MT480" s="10"/>
      <c r="MU480" s="10"/>
      <c r="MV480" s="10"/>
      <c r="MW480" s="10"/>
      <c r="MX480" s="10"/>
      <c r="MY480" s="10"/>
      <c r="MZ480" s="10"/>
      <c r="NA480" s="10"/>
      <c r="NB480" s="10"/>
      <c r="NC480" s="10"/>
      <c r="ND480" s="10"/>
      <c r="NE480" s="10"/>
      <c r="NF480" s="10"/>
      <c r="NG480" s="10"/>
      <c r="NH480" s="10"/>
      <c r="NI480" s="10"/>
      <c r="NJ480" s="10"/>
      <c r="NK480" s="10"/>
      <c r="NL480" s="10"/>
      <c r="NM480" s="10"/>
      <c r="NN480" s="10"/>
      <c r="NO480" s="10"/>
      <c r="NP480" s="10"/>
      <c r="NQ480" s="10"/>
      <c r="NR480" s="10"/>
      <c r="NS480" s="10"/>
      <c r="NT480" s="10"/>
      <c r="NU480" s="10"/>
      <c r="NV480" s="10"/>
      <c r="NW480" s="10"/>
      <c r="NX480" s="10"/>
      <c r="NY480" s="10"/>
      <c r="NZ480" s="10"/>
      <c r="OA480" s="10"/>
      <c r="OB480" s="10"/>
      <c r="OC480" s="10"/>
      <c r="OD480" s="10"/>
      <c r="OE480" s="10"/>
      <c r="OF480" s="10"/>
      <c r="OG480" s="10"/>
      <c r="OH480" s="10"/>
      <c r="OI480" s="10"/>
      <c r="OJ480" s="10"/>
      <c r="OK480" s="10"/>
      <c r="OL480" s="10"/>
      <c r="OM480" s="10"/>
      <c r="ON480" s="10"/>
      <c r="OO480" s="10"/>
      <c r="OP480" s="10"/>
      <c r="OQ480" s="10"/>
      <c r="OR480" s="10"/>
      <c r="OS480" s="10"/>
      <c r="OT480" s="10"/>
      <c r="OU480" s="10"/>
      <c r="OV480" s="10"/>
      <c r="OW480" s="10"/>
      <c r="OX480" s="10"/>
      <c r="OY480" s="10"/>
      <c r="OZ480" s="10"/>
      <c r="PA480" s="10"/>
      <c r="PB480" s="10"/>
      <c r="PC480" s="10"/>
      <c r="PD480" s="10"/>
      <c r="PE480" s="10"/>
      <c r="PF480" s="10"/>
      <c r="PG480" s="10"/>
      <c r="PH480" s="10"/>
      <c r="PI480" s="10"/>
      <c r="PJ480" s="10"/>
      <c r="PK480" s="10"/>
      <c r="PL480" s="10"/>
      <c r="PM480" s="10"/>
      <c r="PN480" s="10"/>
      <c r="PO480" s="10"/>
      <c r="PP480" s="10"/>
      <c r="PQ480" s="10"/>
      <c r="PR480" s="10"/>
      <c r="PS480" s="10"/>
      <c r="PT480" s="10"/>
      <c r="PU480" s="10"/>
      <c r="PV480" s="10"/>
      <c r="PW480" s="10"/>
      <c r="PX480" s="10"/>
      <c r="PY480" s="10"/>
      <c r="PZ480" s="10"/>
      <c r="QA480" s="10"/>
      <c r="QB480" s="10"/>
      <c r="QC480" s="10"/>
      <c r="QD480" s="10"/>
      <c r="QE480" s="10"/>
      <c r="QF480" s="10"/>
      <c r="QG480" s="10"/>
      <c r="QH480" s="10"/>
      <c r="QI480" s="10"/>
      <c r="QJ480" s="10"/>
      <c r="QK480" s="10"/>
      <c r="QL480" s="10"/>
      <c r="QM480" s="10"/>
      <c r="QN480" s="10"/>
      <c r="QO480" s="10"/>
      <c r="QP480" s="10"/>
      <c r="QQ480" s="10"/>
      <c r="QR480" s="10"/>
      <c r="QS480" s="10"/>
      <c r="QT480" s="10"/>
      <c r="QU480" s="10"/>
      <c r="QV480" s="10"/>
      <c r="QW480" s="10"/>
      <c r="QX480" s="10"/>
      <c r="QY480" s="10"/>
      <c r="QZ480" s="10"/>
      <c r="RA480" s="10"/>
      <c r="RB480" s="10"/>
      <c r="RC480" s="10"/>
      <c r="RD480" s="10"/>
      <c r="RE480" s="10"/>
      <c r="RF480" s="10"/>
      <c r="RG480" s="10"/>
      <c r="RH480" s="10"/>
      <c r="RI480" s="10"/>
      <c r="RJ480" s="10"/>
      <c r="RK480" s="10"/>
      <c r="RL480" s="10"/>
      <c r="RM480" s="10"/>
      <c r="RN480" s="10"/>
      <c r="RO480" s="10"/>
      <c r="RP480" s="10"/>
      <c r="RQ480" s="10"/>
      <c r="RR480" s="10"/>
      <c r="RS480" s="10"/>
      <c r="RT480" s="10"/>
      <c r="RU480" s="10"/>
      <c r="RV480" s="10"/>
      <c r="RW480" s="10"/>
      <c r="RX480" s="10"/>
      <c r="RY480" s="10"/>
      <c r="RZ480" s="10"/>
      <c r="SA480" s="10"/>
      <c r="SB480" s="10"/>
      <c r="SC480" s="10"/>
      <c r="SD480" s="10"/>
      <c r="SE480" s="10"/>
      <c r="SF480" s="10"/>
      <c r="SG480" s="10"/>
      <c r="SH480" s="10"/>
      <c r="SI480" s="10"/>
      <c r="SJ480" s="10"/>
      <c r="SK480" s="10"/>
      <c r="SL480" s="10"/>
      <c r="SM480" s="10"/>
      <c r="SN480" s="10"/>
      <c r="SO480" s="10"/>
      <c r="SP480" s="10"/>
      <c r="SQ480" s="10"/>
      <c r="SR480" s="10"/>
      <c r="SS480" s="10"/>
      <c r="ST480" s="10"/>
      <c r="SU480" s="10"/>
      <c r="SV480" s="10"/>
      <c r="SW480" s="10"/>
      <c r="SX480" s="10"/>
      <c r="SY480" s="10"/>
      <c r="SZ480" s="10"/>
      <c r="TA480" s="10"/>
      <c r="TB480" s="10"/>
      <c r="TC480" s="10"/>
      <c r="TD480" s="10"/>
      <c r="TE480" s="10"/>
      <c r="TF480" s="10"/>
      <c r="TG480" s="10"/>
      <c r="TH480" s="10"/>
      <c r="TI480" s="10"/>
      <c r="TJ480" s="10"/>
      <c r="TK480" s="10"/>
      <c r="TL480" s="10"/>
      <c r="TM480" s="10"/>
      <c r="TN480" s="10"/>
      <c r="TO480" s="10"/>
      <c r="TP480" s="10"/>
      <c r="TQ480" s="10"/>
      <c r="TR480" s="10"/>
      <c r="TS480" s="10"/>
      <c r="TT480" s="10"/>
      <c r="TU480" s="10"/>
      <c r="TV480" s="10"/>
      <c r="TW480" s="10"/>
      <c r="TX480" s="10"/>
      <c r="TY480" s="10"/>
      <c r="TZ480" s="10"/>
      <c r="UA480" s="10"/>
      <c r="UB480" s="10"/>
      <c r="UC480" s="10"/>
      <c r="UD480" s="10"/>
      <c r="UE480" s="10"/>
      <c r="UF480" s="10"/>
      <c r="UG480" s="10"/>
      <c r="UH480" s="10"/>
      <c r="UI480" s="10"/>
      <c r="UJ480" s="10"/>
      <c r="UK480" s="10"/>
      <c r="UL480" s="10"/>
      <c r="UM480" s="10"/>
      <c r="UN480" s="10"/>
      <c r="UO480" s="10"/>
      <c r="UP480" s="10"/>
      <c r="UQ480" s="10"/>
      <c r="UR480" s="10"/>
      <c r="US480" s="10"/>
      <c r="UT480" s="10"/>
      <c r="UU480" s="10"/>
      <c r="UV480" s="10"/>
      <c r="UW480" s="10"/>
      <c r="UX480" s="10"/>
      <c r="UY480" s="10"/>
      <c r="UZ480" s="10"/>
      <c r="VA480" s="10"/>
      <c r="VB480" s="10"/>
      <c r="VC480" s="10"/>
      <c r="VD480" s="10"/>
      <c r="VE480" s="10"/>
      <c r="VF480" s="10"/>
      <c r="VG480" s="10"/>
      <c r="VH480" s="10"/>
      <c r="VI480" s="10"/>
      <c r="VJ480" s="10"/>
      <c r="VK480" s="10"/>
      <c r="VL480" s="10"/>
      <c r="VM480" s="10"/>
      <c r="VN480" s="10"/>
      <c r="VO480" s="10"/>
      <c r="VP480" s="10"/>
      <c r="VQ480" s="10"/>
      <c r="VR480" s="10"/>
      <c r="VS480" s="10"/>
      <c r="VT480" s="10"/>
      <c r="VU480" s="10"/>
      <c r="VV480" s="10"/>
      <c r="VW480" s="10"/>
      <c r="VX480" s="10"/>
      <c r="VY480" s="10"/>
      <c r="VZ480" s="10"/>
      <c r="WA480" s="10"/>
      <c r="WB480" s="10"/>
      <c r="WC480" s="10"/>
      <c r="WD480" s="10"/>
      <c r="WE480" s="10"/>
      <c r="WF480" s="10"/>
      <c r="WG480" s="10"/>
      <c r="WH480" s="10"/>
      <c r="WI480" s="10"/>
      <c r="WJ480" s="10"/>
      <c r="WK480" s="10"/>
      <c r="WL480" s="10"/>
      <c r="WM480" s="10"/>
      <c r="WN480" s="10"/>
      <c r="WO480" s="10"/>
      <c r="WP480" s="10"/>
      <c r="WQ480" s="10"/>
      <c r="WR480" s="10"/>
      <c r="WS480" s="10"/>
      <c r="WT480" s="10"/>
      <c r="WU480" s="10"/>
      <c r="WV480" s="10"/>
      <c r="WW480" s="10"/>
      <c r="WX480" s="10"/>
      <c r="WY480" s="10"/>
      <c r="WZ480" s="10"/>
      <c r="XA480" s="10"/>
      <c r="XB480" s="10"/>
      <c r="XC480" s="10"/>
      <c r="XD480" s="10"/>
      <c r="XE480" s="10"/>
      <c r="XF480" s="10"/>
      <c r="XG480" s="10"/>
      <c r="XH480" s="10"/>
      <c r="XI480" s="10"/>
      <c r="XJ480" s="10"/>
      <c r="XK480" s="10"/>
      <c r="XL480" s="10"/>
      <c r="XM480" s="10"/>
      <c r="XN480" s="10"/>
      <c r="XO480" s="10"/>
      <c r="XP48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8902-7DD7-4663-903A-F2C2FE3DC8F5}">
  <dimension ref="A1:XP480"/>
  <sheetViews>
    <sheetView zoomScale="127" zoomScaleNormal="70" workbookViewId="0">
      <selection activeCell="W110" sqref="W110"/>
    </sheetView>
  </sheetViews>
  <sheetFormatPr defaultColWidth="1.109375" defaultRowHeight="6" customHeight="1" x14ac:dyDescent="0.15"/>
  <cols>
    <col min="1" max="15" width="1.109375" style="12"/>
    <col min="16" max="17" width="1.109375" style="12" customWidth="1"/>
    <col min="18" max="18" width="1.109375" style="12"/>
    <col min="19" max="19" width="1.109375" style="12" customWidth="1"/>
    <col min="20" max="23" width="1.109375" style="12"/>
    <col min="24" max="24" width="1.109375" style="12" customWidth="1"/>
    <col min="25" max="16384" width="1.109375" style="12"/>
  </cols>
  <sheetData>
    <row r="1" spans="1:640" ht="6" customHeight="1" x14ac:dyDescent="0.15">
      <c r="A1" s="13"/>
      <c r="B1" s="14"/>
      <c r="C1" s="14"/>
      <c r="D1" s="14"/>
      <c r="E1" s="14"/>
      <c r="F1" s="14"/>
      <c r="G1" s="14"/>
      <c r="H1" s="14"/>
      <c r="I1" s="14"/>
      <c r="J1" s="14"/>
      <c r="K1" s="15"/>
      <c r="L1" s="15"/>
      <c r="M1" s="15"/>
      <c r="N1" s="15"/>
      <c r="O1" s="15"/>
      <c r="P1" s="14"/>
      <c r="Q1" s="14"/>
      <c r="R1" s="14"/>
      <c r="S1" s="14"/>
      <c r="T1" s="14"/>
      <c r="U1" s="14"/>
      <c r="V1" s="14"/>
      <c r="W1" s="14"/>
      <c r="X1" s="14"/>
      <c r="Y1" s="15"/>
      <c r="Z1" s="15"/>
      <c r="AA1" s="15"/>
      <c r="AB1" s="15"/>
      <c r="AC1" s="14"/>
      <c r="AD1" s="14"/>
      <c r="AE1" s="14"/>
      <c r="AF1" s="14"/>
      <c r="AG1" s="14"/>
      <c r="AH1" s="14"/>
      <c r="AI1" s="14"/>
      <c r="AJ1" s="14"/>
      <c r="AK1" s="14"/>
      <c r="AL1" s="15"/>
      <c r="AM1" s="15"/>
      <c r="AN1" s="15"/>
      <c r="AO1" s="15"/>
      <c r="AP1" s="15"/>
      <c r="AQ1" s="14"/>
      <c r="AR1" s="14"/>
      <c r="AS1" s="14"/>
      <c r="AT1" s="14"/>
      <c r="AU1" s="14"/>
      <c r="AV1" s="14"/>
      <c r="AW1" s="14"/>
      <c r="AX1" s="14"/>
      <c r="AY1" s="14"/>
      <c r="AZ1" s="15"/>
      <c r="BA1" s="15"/>
      <c r="BB1" s="15"/>
      <c r="BC1" s="14"/>
      <c r="BD1" s="14"/>
      <c r="BE1" s="14"/>
      <c r="BF1" s="14"/>
      <c r="BG1" s="14"/>
      <c r="BH1" s="14"/>
      <c r="BI1" s="14"/>
      <c r="BJ1" s="14"/>
      <c r="BK1" s="14"/>
      <c r="BL1" s="15"/>
      <c r="BM1" s="15"/>
      <c r="BN1" s="15"/>
      <c r="BO1" s="15"/>
      <c r="BP1" s="15"/>
      <c r="BQ1" s="14"/>
      <c r="BR1" s="14"/>
      <c r="BS1" s="14"/>
      <c r="BT1" s="14"/>
      <c r="BU1" s="14"/>
      <c r="BV1" s="14"/>
      <c r="BW1" s="14"/>
      <c r="BX1" s="14"/>
      <c r="BY1" s="14"/>
      <c r="BZ1" s="15"/>
      <c r="CA1" s="15"/>
      <c r="CB1" s="15"/>
      <c r="CC1" s="15"/>
      <c r="CD1" s="15"/>
      <c r="CE1" s="14"/>
      <c r="CF1" s="14"/>
      <c r="CG1" s="14"/>
      <c r="CH1" s="14"/>
      <c r="CI1" s="14"/>
      <c r="CJ1" s="14"/>
      <c r="CK1" s="14"/>
      <c r="CL1" s="14"/>
      <c r="CM1" s="14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6"/>
      <c r="CZ1" s="17"/>
      <c r="DA1" s="17"/>
      <c r="DB1" s="17"/>
      <c r="DC1" s="17"/>
      <c r="DD1" s="18"/>
      <c r="DE1" s="17"/>
      <c r="DF1" s="17"/>
      <c r="DG1" s="17"/>
      <c r="DH1" s="17"/>
      <c r="DI1" s="19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20"/>
    </row>
    <row r="2" spans="1:640" ht="6" customHeight="1" x14ac:dyDescent="0.15">
      <c r="A2" s="21"/>
      <c r="B2" s="22"/>
      <c r="F2" s="22"/>
      <c r="J2" s="22"/>
      <c r="K2" s="22"/>
      <c r="O2" s="22"/>
      <c r="Y2" s="22"/>
      <c r="AG2" s="22"/>
      <c r="AL2" s="22"/>
      <c r="AP2" s="22"/>
      <c r="BG2" s="22"/>
      <c r="BL2" s="22"/>
      <c r="BP2" s="22"/>
      <c r="CD2" s="22"/>
      <c r="CY2" s="23"/>
      <c r="DC2" s="22"/>
      <c r="DE2" s="22"/>
      <c r="DI2" s="24"/>
      <c r="XP2" s="25"/>
    </row>
    <row r="3" spans="1:640" ht="6" customHeight="1" x14ac:dyDescent="0.15">
      <c r="A3" s="21"/>
      <c r="C3" s="22"/>
      <c r="F3" s="22"/>
      <c r="I3" s="22"/>
      <c r="K3" s="22"/>
      <c r="O3" s="22"/>
      <c r="Y3" s="22"/>
      <c r="AG3" s="22"/>
      <c r="AL3" s="22"/>
      <c r="AP3" s="22"/>
      <c r="BG3" s="22"/>
      <c r="BL3" s="22"/>
      <c r="BP3" s="22"/>
      <c r="CD3" s="22"/>
      <c r="CY3" s="23"/>
      <c r="DC3" s="22"/>
      <c r="DE3" s="22"/>
      <c r="DI3" s="24"/>
      <c r="XP3" s="25"/>
    </row>
    <row r="4" spans="1:640" ht="6" customHeight="1" x14ac:dyDescent="0.15">
      <c r="A4" s="21"/>
      <c r="C4" s="22"/>
      <c r="F4" s="22"/>
      <c r="I4" s="22"/>
      <c r="K4" s="22"/>
      <c r="O4" s="22"/>
      <c r="Y4" s="22"/>
      <c r="AG4" s="22"/>
      <c r="AL4" s="22"/>
      <c r="AP4" s="22"/>
      <c r="BG4" s="22"/>
      <c r="BL4" s="22"/>
      <c r="BP4" s="22"/>
      <c r="CD4" s="22"/>
      <c r="CY4" s="23"/>
      <c r="DC4" s="22"/>
      <c r="DE4" s="22"/>
      <c r="DI4" s="24"/>
      <c r="XP4" s="25"/>
    </row>
    <row r="5" spans="1:640" ht="6" customHeight="1" x14ac:dyDescent="0.15">
      <c r="A5" s="21"/>
      <c r="C5" s="22"/>
      <c r="F5" s="22"/>
      <c r="I5" s="22"/>
      <c r="K5" s="22"/>
      <c r="O5" s="22"/>
      <c r="Y5" s="22"/>
      <c r="AG5" s="22"/>
      <c r="AL5" s="22"/>
      <c r="AP5" s="22"/>
      <c r="BG5" s="22"/>
      <c r="BL5" s="22"/>
      <c r="BP5" s="22"/>
      <c r="CD5" s="22"/>
      <c r="CY5" s="23"/>
      <c r="DB5" s="22"/>
      <c r="DF5" s="22"/>
      <c r="DI5" s="24"/>
      <c r="XP5" s="25"/>
    </row>
    <row r="6" spans="1:640" ht="6" customHeight="1" x14ac:dyDescent="0.15">
      <c r="A6" s="21"/>
      <c r="D6" s="22"/>
      <c r="F6" s="22"/>
      <c r="H6" s="22"/>
      <c r="K6" s="22"/>
      <c r="O6" s="22"/>
      <c r="Y6" s="22"/>
      <c r="AG6" s="22"/>
      <c r="AL6" s="22"/>
      <c r="AP6" s="22"/>
      <c r="BG6" s="22"/>
      <c r="BL6" s="22"/>
      <c r="BP6" s="22"/>
      <c r="CD6" s="22"/>
      <c r="CY6" s="23"/>
      <c r="DB6" s="22"/>
      <c r="DF6" s="22"/>
      <c r="DI6" s="24"/>
      <c r="XP6" s="25"/>
    </row>
    <row r="7" spans="1:640" ht="6" customHeight="1" x14ac:dyDescent="0.15">
      <c r="A7" s="21"/>
      <c r="D7" s="22"/>
      <c r="F7" s="22"/>
      <c r="H7" s="22"/>
      <c r="K7" s="22"/>
      <c r="O7" s="22"/>
      <c r="Y7" s="22"/>
      <c r="AG7" s="22"/>
      <c r="AL7" s="22"/>
      <c r="AP7" s="22"/>
      <c r="BG7" s="22"/>
      <c r="BL7" s="22"/>
      <c r="BP7" s="22"/>
      <c r="CD7" s="22"/>
      <c r="CY7" s="23"/>
      <c r="DB7" s="22"/>
      <c r="DF7" s="22"/>
      <c r="DI7" s="24"/>
      <c r="XP7" s="25"/>
    </row>
    <row r="8" spans="1:640" ht="6" customHeight="1" x14ac:dyDescent="0.15">
      <c r="A8" s="21"/>
      <c r="E8" s="22"/>
      <c r="F8" s="22"/>
      <c r="G8" s="22"/>
      <c r="K8" s="22"/>
      <c r="O8" s="22"/>
      <c r="Y8" s="22"/>
      <c r="AG8" s="22"/>
      <c r="AL8" s="22"/>
      <c r="AP8" s="22"/>
      <c r="BG8" s="22"/>
      <c r="BL8" s="22"/>
      <c r="BP8" s="22"/>
      <c r="CD8" s="22"/>
      <c r="CY8" s="23"/>
      <c r="DA8" s="22"/>
      <c r="DG8" s="22"/>
      <c r="DI8" s="24"/>
      <c r="XP8" s="25"/>
    </row>
    <row r="9" spans="1:640" ht="6" customHeight="1" x14ac:dyDescent="0.15">
      <c r="A9" s="26"/>
      <c r="B9" s="22"/>
      <c r="C9" s="22"/>
      <c r="D9" s="22"/>
      <c r="E9" s="22"/>
      <c r="F9" s="22"/>
      <c r="G9" s="22"/>
      <c r="H9" s="22"/>
      <c r="I9" s="22"/>
      <c r="J9" s="22"/>
      <c r="P9" s="22"/>
      <c r="Q9" s="22"/>
      <c r="R9" s="22"/>
      <c r="S9" s="22"/>
      <c r="T9" s="22"/>
      <c r="U9" s="22"/>
      <c r="V9" s="22"/>
      <c r="W9" s="22"/>
      <c r="X9" s="22"/>
      <c r="AG9" s="22"/>
      <c r="AH9" s="22"/>
      <c r="AI9" s="22"/>
      <c r="AJ9" s="22"/>
      <c r="AK9" s="22"/>
      <c r="BG9" s="22"/>
      <c r="BQ9" s="22"/>
      <c r="BR9" s="22"/>
      <c r="BS9" s="22"/>
      <c r="BT9" s="22"/>
      <c r="BU9" s="22"/>
      <c r="CE9" s="22"/>
      <c r="CF9" s="22"/>
      <c r="CG9" s="22"/>
      <c r="CH9" s="22"/>
      <c r="CI9" s="22"/>
      <c r="CY9" s="23"/>
      <c r="DA9" s="22"/>
      <c r="DG9" s="22"/>
      <c r="DI9" s="24"/>
      <c r="XP9" s="25"/>
    </row>
    <row r="10" spans="1:640" ht="6" customHeight="1" x14ac:dyDescent="0.15">
      <c r="A10" s="21"/>
      <c r="E10" s="22"/>
      <c r="F10" s="22"/>
      <c r="G10" s="22"/>
      <c r="K10" s="22"/>
      <c r="O10" s="22"/>
      <c r="Y10" s="22"/>
      <c r="AG10" s="22"/>
      <c r="AL10" s="22"/>
      <c r="AP10" s="22"/>
      <c r="BG10" s="22"/>
      <c r="BL10" s="22"/>
      <c r="BP10" s="22"/>
      <c r="CD10" s="22"/>
      <c r="CY10" s="23"/>
      <c r="DA10" s="22"/>
      <c r="DG10" s="22"/>
      <c r="DI10" s="24"/>
      <c r="XP10" s="25"/>
    </row>
    <row r="11" spans="1:640" ht="6" customHeight="1" x14ac:dyDescent="0.15">
      <c r="A11" s="21"/>
      <c r="D11" s="22"/>
      <c r="F11" s="22"/>
      <c r="H11" s="22"/>
      <c r="K11" s="22"/>
      <c r="O11" s="22"/>
      <c r="Y11" s="22"/>
      <c r="AG11" s="22"/>
      <c r="AL11" s="22"/>
      <c r="AP11" s="22"/>
      <c r="BG11" s="22"/>
      <c r="BL11" s="22"/>
      <c r="BP11" s="22"/>
      <c r="CD11" s="22"/>
      <c r="CY11" s="23"/>
      <c r="CZ11" s="22"/>
      <c r="DB11" s="22"/>
      <c r="DC11" s="22"/>
      <c r="DD11" s="22"/>
      <c r="DE11" s="22"/>
      <c r="DF11" s="22"/>
      <c r="DH11" s="22"/>
      <c r="DI11" s="24"/>
      <c r="XP11" s="25"/>
    </row>
    <row r="12" spans="1:640" ht="6" customHeight="1" x14ac:dyDescent="0.15">
      <c r="A12" s="21"/>
      <c r="D12" s="22"/>
      <c r="F12" s="22"/>
      <c r="H12" s="22"/>
      <c r="K12" s="22"/>
      <c r="O12" s="22"/>
      <c r="Y12" s="22"/>
      <c r="AG12" s="22"/>
      <c r="AL12" s="22"/>
      <c r="AP12" s="22"/>
      <c r="BG12" s="22"/>
      <c r="BL12" s="22"/>
      <c r="BP12" s="22"/>
      <c r="CD12" s="22"/>
      <c r="CY12" s="23"/>
      <c r="CZ12" s="22"/>
      <c r="DH12" s="22"/>
      <c r="DI12" s="24"/>
      <c r="XP12" s="25"/>
    </row>
    <row r="13" spans="1:640" ht="6" customHeight="1" x14ac:dyDescent="0.15">
      <c r="A13" s="21"/>
      <c r="C13" s="22"/>
      <c r="F13" s="22"/>
      <c r="I13" s="22"/>
      <c r="K13" s="22"/>
      <c r="O13" s="22"/>
      <c r="Y13" s="22"/>
      <c r="AG13" s="22"/>
      <c r="AL13" s="22"/>
      <c r="AP13" s="22"/>
      <c r="BG13" s="22"/>
      <c r="BL13" s="22"/>
      <c r="BP13" s="22"/>
      <c r="CD13" s="22"/>
      <c r="CY13" s="23"/>
      <c r="CZ13" s="22"/>
      <c r="DH13" s="22"/>
      <c r="DI13" s="24"/>
      <c r="XP13" s="25"/>
    </row>
    <row r="14" spans="1:640" ht="6" customHeight="1" x14ac:dyDescent="0.15">
      <c r="A14" s="21"/>
      <c r="C14" s="22"/>
      <c r="F14" s="22"/>
      <c r="I14" s="22"/>
      <c r="K14" s="22"/>
      <c r="O14" s="22"/>
      <c r="Y14" s="22"/>
      <c r="AG14" s="22"/>
      <c r="AL14" s="22"/>
      <c r="AP14" s="22"/>
      <c r="BG14" s="22"/>
      <c r="BL14" s="22"/>
      <c r="BP14" s="22"/>
      <c r="CD14" s="22"/>
      <c r="CY14" s="27"/>
      <c r="DI14" s="28"/>
      <c r="XP14" s="25"/>
    </row>
    <row r="15" spans="1:640" ht="6" customHeight="1" x14ac:dyDescent="0.15">
      <c r="A15" s="21"/>
      <c r="C15" s="22"/>
      <c r="F15" s="22"/>
      <c r="I15" s="22"/>
      <c r="K15" s="22"/>
      <c r="O15" s="22"/>
      <c r="Y15" s="22"/>
      <c r="AG15" s="22"/>
      <c r="AL15" s="22"/>
      <c r="AP15" s="22"/>
      <c r="BG15" s="22"/>
      <c r="BL15" s="22"/>
      <c r="BP15" s="22"/>
      <c r="CD15" s="22"/>
      <c r="CY15" s="27"/>
      <c r="DI15" s="28"/>
      <c r="XP15" s="25"/>
    </row>
    <row r="16" spans="1:640" ht="6" customHeight="1" x14ac:dyDescent="0.15">
      <c r="A16" s="21"/>
      <c r="B16" s="22"/>
      <c r="F16" s="22"/>
      <c r="J16" s="22"/>
      <c r="K16" s="22"/>
      <c r="O16" s="22"/>
      <c r="Y16" s="22"/>
      <c r="AG16" s="22"/>
      <c r="AL16" s="22"/>
      <c r="AP16" s="22"/>
      <c r="BG16" s="22"/>
      <c r="BL16" s="22"/>
      <c r="BP16" s="22"/>
      <c r="CD16" s="22"/>
      <c r="CY16" s="29"/>
      <c r="CZ16" s="30"/>
      <c r="DA16" s="30"/>
      <c r="DB16" s="30"/>
      <c r="DC16" s="30"/>
      <c r="DD16" s="30"/>
      <c r="DE16" s="30"/>
      <c r="DF16" s="30"/>
      <c r="DG16" s="30"/>
      <c r="DH16" s="30"/>
      <c r="DI16" s="31"/>
      <c r="XP16" s="25"/>
    </row>
    <row r="17" spans="1:640" ht="6" customHeight="1" x14ac:dyDescent="0.15">
      <c r="A17" s="26"/>
      <c r="B17" s="22"/>
      <c r="C17" s="22"/>
      <c r="D17" s="22"/>
      <c r="E17" s="22"/>
      <c r="F17" s="22"/>
      <c r="G17" s="22"/>
      <c r="H17" s="22"/>
      <c r="I17" s="22"/>
      <c r="J17" s="22"/>
      <c r="AC17" s="22"/>
      <c r="AD17" s="22"/>
      <c r="AE17" s="22"/>
      <c r="AF17" s="22"/>
      <c r="AG17" s="22"/>
      <c r="AH17" s="22"/>
      <c r="AI17" s="22"/>
      <c r="AJ17" s="22"/>
      <c r="AK17" s="22"/>
      <c r="AQ17" s="22"/>
      <c r="AR17" s="22"/>
      <c r="AS17" s="22"/>
      <c r="AT17" s="22"/>
      <c r="AU17" s="22"/>
      <c r="AV17" s="22"/>
      <c r="AW17" s="22"/>
      <c r="AX17" s="22"/>
      <c r="AY17" s="22"/>
      <c r="BC17" s="22"/>
      <c r="BD17" s="22"/>
      <c r="BE17" s="22"/>
      <c r="BF17" s="22"/>
      <c r="BG17" s="22"/>
      <c r="BH17" s="22"/>
      <c r="BI17" s="22"/>
      <c r="BJ17" s="22"/>
      <c r="BK17" s="22"/>
      <c r="BQ17" s="22"/>
      <c r="BR17" s="22"/>
      <c r="BS17" s="22"/>
      <c r="BT17" s="22"/>
      <c r="BU17" s="22"/>
      <c r="BV17" s="22"/>
      <c r="BW17" s="22"/>
      <c r="BX17" s="22"/>
      <c r="BY17" s="22"/>
      <c r="XP17" s="25"/>
    </row>
    <row r="18" spans="1:640" ht="6" customHeight="1" x14ac:dyDescent="0.15">
      <c r="A18" s="26"/>
      <c r="XP18" s="25"/>
    </row>
    <row r="19" spans="1:640" ht="6" customHeight="1" x14ac:dyDescent="0.15">
      <c r="A19" s="26"/>
      <c r="XP19" s="25"/>
    </row>
    <row r="20" spans="1:640" ht="6" customHeight="1" x14ac:dyDescent="0.15">
      <c r="A20" s="26"/>
      <c r="XP20" s="25"/>
    </row>
    <row r="21" spans="1:640" ht="6" customHeight="1" x14ac:dyDescent="0.15">
      <c r="A21" s="26"/>
      <c r="B21" s="22"/>
      <c r="C21" s="22"/>
      <c r="D21" s="22"/>
      <c r="E21" s="22"/>
      <c r="F21" s="22"/>
      <c r="G21" s="22"/>
      <c r="H21" s="22"/>
      <c r="I21" s="22"/>
      <c r="J21" s="22"/>
      <c r="XP21" s="25"/>
    </row>
    <row r="22" spans="1:640" ht="6" customHeight="1" x14ac:dyDescent="0.15">
      <c r="A22" s="21"/>
      <c r="B22" s="22"/>
      <c r="F22" s="22"/>
      <c r="J22" s="22"/>
      <c r="K22" s="22"/>
      <c r="O22" s="22"/>
      <c r="X22" s="22"/>
      <c r="AQ22" s="22"/>
      <c r="AR22" s="22"/>
      <c r="AS22" s="22"/>
      <c r="AT22" s="22"/>
      <c r="AU22" s="22"/>
      <c r="AV22" s="22"/>
      <c r="AW22" s="22"/>
      <c r="AX22" s="22"/>
      <c r="AY22" s="22"/>
      <c r="BD22" s="22"/>
      <c r="BE22" s="22"/>
      <c r="BF22" s="22"/>
      <c r="BG22" s="22"/>
      <c r="BH22" s="22"/>
      <c r="BI22" s="22"/>
      <c r="BJ22" s="22"/>
      <c r="BK22" s="22"/>
      <c r="BL22" s="22"/>
      <c r="BQ22" s="22"/>
      <c r="BR22" s="22"/>
      <c r="BS22" s="22"/>
      <c r="BT22" s="22"/>
      <c r="BU22" s="22"/>
      <c r="BV22" s="22"/>
      <c r="BW22" s="22"/>
      <c r="CD22" s="22"/>
      <c r="CE22" s="22"/>
      <c r="CF22" s="22"/>
      <c r="CG22" s="22"/>
      <c r="CH22" s="22"/>
      <c r="CI22" s="22"/>
      <c r="CJ22" s="22"/>
      <c r="CP22" s="22"/>
      <c r="CQ22" s="22"/>
      <c r="CR22" s="22"/>
      <c r="CS22" s="22"/>
      <c r="CT22" s="22"/>
      <c r="CU22" s="22"/>
      <c r="CV22" s="22"/>
      <c r="XP22" s="25"/>
    </row>
    <row r="23" spans="1:640" ht="6" customHeight="1" x14ac:dyDescent="0.15">
      <c r="A23" s="21"/>
      <c r="C23" s="22"/>
      <c r="F23" s="22"/>
      <c r="I23" s="22"/>
      <c r="K23" s="22"/>
      <c r="O23" s="22"/>
      <c r="W23" s="22"/>
      <c r="AC23" s="22"/>
      <c r="AL23" s="22"/>
      <c r="AP23" s="22"/>
      <c r="AQ23" s="22"/>
      <c r="AU23" s="22"/>
      <c r="AY23" s="22"/>
      <c r="AZ23" s="22"/>
      <c r="BC23" s="22"/>
      <c r="BD23" s="22"/>
      <c r="BH23" s="22"/>
      <c r="BL23" s="22"/>
      <c r="BM23" s="22"/>
      <c r="BP23" s="22"/>
      <c r="BQ23" s="22"/>
      <c r="BT23" s="22"/>
      <c r="BW23" s="22"/>
      <c r="BX23" s="22"/>
      <c r="CC23" s="22"/>
      <c r="CK23" s="22"/>
      <c r="CS23" s="22"/>
      <c r="CW23" s="22"/>
      <c r="XP23" s="25"/>
    </row>
    <row r="24" spans="1:640" ht="6" customHeight="1" x14ac:dyDescent="0.15">
      <c r="A24" s="21"/>
      <c r="C24" s="22"/>
      <c r="F24" s="22"/>
      <c r="I24" s="22"/>
      <c r="K24" s="22"/>
      <c r="O24" s="22"/>
      <c r="W24" s="22"/>
      <c r="AC24" s="22"/>
      <c r="AK24" s="22"/>
      <c r="AP24" s="22"/>
      <c r="AR24" s="22"/>
      <c r="AU24" s="22"/>
      <c r="AX24" s="22"/>
      <c r="AZ24" s="22"/>
      <c r="BC24" s="22"/>
      <c r="BE24" s="22"/>
      <c r="BH24" s="22"/>
      <c r="BK24" s="22"/>
      <c r="BM24" s="22"/>
      <c r="BP24" s="22"/>
      <c r="BR24" s="22"/>
      <c r="BT24" s="22"/>
      <c r="BV24" s="22"/>
      <c r="BX24" s="22"/>
      <c r="CC24" s="22"/>
      <c r="CK24" s="22"/>
      <c r="CS24" s="22"/>
      <c r="CW24" s="22"/>
      <c r="XP24" s="25"/>
    </row>
    <row r="25" spans="1:640" ht="6" customHeight="1" x14ac:dyDescent="0.15">
      <c r="A25" s="21"/>
      <c r="C25" s="22"/>
      <c r="F25" s="22"/>
      <c r="I25" s="22"/>
      <c r="K25" s="22"/>
      <c r="O25" s="22"/>
      <c r="W25" s="22"/>
      <c r="AC25" s="22"/>
      <c r="AK25" s="22"/>
      <c r="AP25" s="22"/>
      <c r="AR25" s="22"/>
      <c r="AU25" s="22"/>
      <c r="AX25" s="22"/>
      <c r="AZ25" s="22"/>
      <c r="BC25" s="22"/>
      <c r="BE25" s="22"/>
      <c r="BH25" s="22"/>
      <c r="BK25" s="22"/>
      <c r="BM25" s="22"/>
      <c r="BP25" s="22"/>
      <c r="BR25" s="22"/>
      <c r="BT25" s="22"/>
      <c r="BV25" s="22"/>
      <c r="BX25" s="22"/>
      <c r="CC25" s="22"/>
      <c r="CK25" s="22"/>
      <c r="CS25" s="22"/>
      <c r="CW25" s="22"/>
      <c r="XP25" s="25"/>
    </row>
    <row r="26" spans="1:640" ht="6" customHeight="1" x14ac:dyDescent="0.15">
      <c r="A26" s="21"/>
      <c r="D26" s="22"/>
      <c r="F26" s="22"/>
      <c r="H26" s="22"/>
      <c r="K26" s="22"/>
      <c r="O26" s="22"/>
      <c r="V26" s="22"/>
      <c r="AC26" s="22"/>
      <c r="AK26" s="22"/>
      <c r="AP26" s="22"/>
      <c r="AR26" s="22"/>
      <c r="AU26" s="22"/>
      <c r="AX26" s="22"/>
      <c r="AZ26" s="22"/>
      <c r="BC26" s="22"/>
      <c r="BE26" s="22"/>
      <c r="BH26" s="22"/>
      <c r="BK26" s="22"/>
      <c r="BM26" s="22"/>
      <c r="BP26" s="22"/>
      <c r="BR26" s="22"/>
      <c r="BT26" s="22"/>
      <c r="BV26" s="22"/>
      <c r="BX26" s="22"/>
      <c r="CC26" s="22"/>
      <c r="CK26" s="22"/>
      <c r="CS26" s="22"/>
      <c r="CW26" s="22"/>
      <c r="XP26" s="25"/>
    </row>
    <row r="27" spans="1:640" ht="6" customHeight="1" x14ac:dyDescent="0.15">
      <c r="A27" s="21"/>
      <c r="D27" s="22"/>
      <c r="F27" s="22"/>
      <c r="H27" s="22"/>
      <c r="K27" s="22"/>
      <c r="O27" s="22"/>
      <c r="V27" s="22"/>
      <c r="AC27" s="22"/>
      <c r="AJ27" s="22"/>
      <c r="AP27" s="22"/>
      <c r="AS27" s="22"/>
      <c r="AU27" s="22"/>
      <c r="AW27" s="22"/>
      <c r="AZ27" s="22"/>
      <c r="BC27" s="22"/>
      <c r="BF27" s="22"/>
      <c r="BH27" s="22"/>
      <c r="BJ27" s="22"/>
      <c r="BM27" s="22"/>
      <c r="BP27" s="22"/>
      <c r="BR27" s="22"/>
      <c r="BT27" s="22"/>
      <c r="BV27" s="22"/>
      <c r="BX27" s="22"/>
      <c r="CC27" s="22"/>
      <c r="CK27" s="22"/>
      <c r="CS27" s="22"/>
      <c r="CW27" s="22"/>
      <c r="XP27" s="25"/>
    </row>
    <row r="28" spans="1:640" ht="6" customHeight="1" x14ac:dyDescent="0.15">
      <c r="A28" s="21"/>
      <c r="E28" s="22"/>
      <c r="F28" s="22"/>
      <c r="G28" s="22"/>
      <c r="K28" s="22"/>
      <c r="O28" s="22"/>
      <c r="U28" s="22"/>
      <c r="AC28" s="22"/>
      <c r="AJ28" s="22"/>
      <c r="AP28" s="22"/>
      <c r="AS28" s="22"/>
      <c r="AU28" s="22"/>
      <c r="AW28" s="22"/>
      <c r="AZ28" s="22"/>
      <c r="BC28" s="22"/>
      <c r="BF28" s="22"/>
      <c r="BH28" s="22"/>
      <c r="BJ28" s="22"/>
      <c r="BM28" s="22"/>
      <c r="BP28" s="22"/>
      <c r="BS28" s="22"/>
      <c r="BT28" s="22"/>
      <c r="BU28" s="22"/>
      <c r="BX28" s="22"/>
      <c r="CC28" s="22"/>
      <c r="CK28" s="22"/>
      <c r="CS28" s="22"/>
      <c r="CW28" s="22"/>
      <c r="XP28" s="25"/>
    </row>
    <row r="29" spans="1:640" ht="6" customHeight="1" x14ac:dyDescent="0.15">
      <c r="A29" s="26"/>
      <c r="B29" s="22"/>
      <c r="C29" s="22"/>
      <c r="D29" s="22"/>
      <c r="E29" s="22"/>
      <c r="F29" s="22"/>
      <c r="G29" s="22"/>
      <c r="H29" s="22"/>
      <c r="I29" s="22"/>
      <c r="J29" s="22"/>
      <c r="P29" s="22"/>
      <c r="Q29" s="22"/>
      <c r="R29" s="22"/>
      <c r="S29" s="22"/>
      <c r="T29" s="22"/>
      <c r="AC29" s="22"/>
      <c r="AI29" s="22"/>
      <c r="AP29" s="22"/>
      <c r="AT29" s="22"/>
      <c r="AU29" s="22"/>
      <c r="AV29" s="22"/>
      <c r="AZ29" s="22"/>
      <c r="BC29" s="22"/>
      <c r="BG29" s="22"/>
      <c r="BH29" s="22"/>
      <c r="BI29" s="22"/>
      <c r="BM29" s="22"/>
      <c r="BQ29" s="22"/>
      <c r="BR29" s="22"/>
      <c r="BS29" s="22"/>
      <c r="BT29" s="22"/>
      <c r="BU29" s="22"/>
      <c r="BV29" s="22"/>
      <c r="BW29" s="22"/>
      <c r="CD29" s="22"/>
      <c r="CE29" s="22"/>
      <c r="CF29" s="22"/>
      <c r="CG29" s="22"/>
      <c r="CH29" s="22"/>
      <c r="CI29" s="22"/>
      <c r="CJ29" s="22"/>
      <c r="CS29" s="22"/>
      <c r="CT29" s="22"/>
      <c r="CU29" s="22"/>
      <c r="CV29" s="22"/>
      <c r="XP29" s="25"/>
    </row>
    <row r="30" spans="1:640" ht="6" customHeight="1" x14ac:dyDescent="0.15">
      <c r="A30" s="21"/>
      <c r="E30" s="22"/>
      <c r="F30" s="22"/>
      <c r="G30" s="22"/>
      <c r="K30" s="22"/>
      <c r="O30" s="22"/>
      <c r="U30" s="22"/>
      <c r="AI30" s="22"/>
      <c r="AQ30" s="22"/>
      <c r="AR30" s="22"/>
      <c r="AS30" s="22"/>
      <c r="AT30" s="22"/>
      <c r="AU30" s="22"/>
      <c r="AV30" s="22"/>
      <c r="AW30" s="22"/>
      <c r="AX30" s="22"/>
      <c r="AY30" s="22"/>
      <c r="BD30" s="22"/>
      <c r="BE30" s="22"/>
      <c r="BF30" s="22"/>
      <c r="BG30" s="22"/>
      <c r="BH30" s="22"/>
      <c r="BI30" s="22"/>
      <c r="BJ30" s="22"/>
      <c r="BK30" s="22"/>
      <c r="BL30" s="22"/>
      <c r="BP30" s="22"/>
      <c r="BS30" s="22"/>
      <c r="BT30" s="22"/>
      <c r="BU30" s="22"/>
      <c r="BX30" s="22"/>
      <c r="CC30" s="22"/>
      <c r="CK30" s="22"/>
      <c r="CS30" s="22"/>
      <c r="CW30" s="22"/>
      <c r="XP30" s="25"/>
    </row>
    <row r="31" spans="1:640" ht="6" customHeight="1" x14ac:dyDescent="0.15">
      <c r="A31" s="21"/>
      <c r="D31" s="22"/>
      <c r="F31" s="22"/>
      <c r="H31" s="22"/>
      <c r="K31" s="22"/>
      <c r="O31" s="22"/>
      <c r="V31" s="22"/>
      <c r="AC31" s="22"/>
      <c r="AG31" s="22"/>
      <c r="AH31" s="22"/>
      <c r="AP31" s="22"/>
      <c r="AT31" s="22"/>
      <c r="AU31" s="22"/>
      <c r="AV31" s="22"/>
      <c r="AZ31" s="22"/>
      <c r="BC31" s="22"/>
      <c r="BG31" s="22"/>
      <c r="BH31" s="22"/>
      <c r="BI31" s="22"/>
      <c r="BM31" s="22"/>
      <c r="BP31" s="22"/>
      <c r="BR31" s="22"/>
      <c r="BT31" s="22"/>
      <c r="BV31" s="22"/>
      <c r="BX31" s="22"/>
      <c r="CC31" s="22"/>
      <c r="CK31" s="22"/>
      <c r="CS31" s="22"/>
      <c r="CW31" s="22"/>
      <c r="XP31" s="25"/>
    </row>
    <row r="32" spans="1:640" ht="6" customHeight="1" x14ac:dyDescent="0.15">
      <c r="A32" s="21"/>
      <c r="D32" s="22"/>
      <c r="F32" s="22"/>
      <c r="H32" s="22"/>
      <c r="K32" s="22"/>
      <c r="O32" s="22"/>
      <c r="V32" s="22"/>
      <c r="AC32" s="22"/>
      <c r="AF32" s="22"/>
      <c r="AP32" s="22"/>
      <c r="AS32" s="22"/>
      <c r="AU32" s="22"/>
      <c r="AW32" s="22"/>
      <c r="AZ32" s="22"/>
      <c r="BC32" s="22"/>
      <c r="BF32" s="22"/>
      <c r="BH32" s="22"/>
      <c r="BJ32" s="22"/>
      <c r="BM32" s="22"/>
      <c r="BP32" s="22"/>
      <c r="BR32" s="22"/>
      <c r="BT32" s="22"/>
      <c r="BV32" s="22"/>
      <c r="BX32" s="22"/>
      <c r="CC32" s="22"/>
      <c r="CK32" s="22"/>
      <c r="CS32" s="22"/>
      <c r="CW32" s="22"/>
      <c r="XP32" s="25"/>
    </row>
    <row r="33" spans="1:640" ht="6" customHeight="1" x14ac:dyDescent="0.15">
      <c r="A33" s="21"/>
      <c r="C33" s="22"/>
      <c r="F33" s="22"/>
      <c r="I33" s="22"/>
      <c r="K33" s="22"/>
      <c r="O33" s="22"/>
      <c r="W33" s="22"/>
      <c r="AC33" s="22"/>
      <c r="AF33" s="22"/>
      <c r="AP33" s="22"/>
      <c r="AS33" s="22"/>
      <c r="AU33" s="22"/>
      <c r="AW33" s="22"/>
      <c r="AZ33" s="22"/>
      <c r="BC33" s="22"/>
      <c r="BF33" s="22"/>
      <c r="BH33" s="22"/>
      <c r="BJ33" s="22"/>
      <c r="BM33" s="22"/>
      <c r="BP33" s="22"/>
      <c r="BR33" s="22"/>
      <c r="BT33" s="22"/>
      <c r="BV33" s="22"/>
      <c r="BX33" s="22"/>
      <c r="CC33" s="22"/>
      <c r="CK33" s="22"/>
      <c r="CS33" s="22"/>
      <c r="CW33" s="22"/>
      <c r="XP33" s="25"/>
    </row>
    <row r="34" spans="1:640" ht="6" customHeight="1" x14ac:dyDescent="0.15">
      <c r="A34" s="21"/>
      <c r="C34" s="22"/>
      <c r="F34" s="22"/>
      <c r="I34" s="22"/>
      <c r="K34" s="22"/>
      <c r="O34" s="22"/>
      <c r="W34" s="22"/>
      <c r="AC34" s="22"/>
      <c r="AE34" s="22"/>
      <c r="AP34" s="22"/>
      <c r="AR34" s="22"/>
      <c r="AU34" s="22"/>
      <c r="AX34" s="22"/>
      <c r="AZ34" s="22"/>
      <c r="BC34" s="22"/>
      <c r="BE34" s="22"/>
      <c r="BH34" s="22"/>
      <c r="BK34" s="22"/>
      <c r="BM34" s="22"/>
      <c r="BP34" s="22"/>
      <c r="BR34" s="22"/>
      <c r="BT34" s="22"/>
      <c r="BV34" s="22"/>
      <c r="BX34" s="22"/>
      <c r="CC34" s="22"/>
      <c r="CK34" s="22"/>
      <c r="CS34" s="22"/>
      <c r="CW34" s="22"/>
      <c r="XP34" s="25"/>
    </row>
    <row r="35" spans="1:640" ht="6" customHeight="1" x14ac:dyDescent="0.15">
      <c r="A35" s="21"/>
      <c r="C35" s="22"/>
      <c r="F35" s="22"/>
      <c r="I35" s="22"/>
      <c r="K35" s="22"/>
      <c r="O35" s="22"/>
      <c r="W35" s="22"/>
      <c r="AC35" s="22"/>
      <c r="AE35" s="22"/>
      <c r="AP35" s="22"/>
      <c r="AR35" s="22"/>
      <c r="AU35" s="22"/>
      <c r="AX35" s="22"/>
      <c r="AZ35" s="22"/>
      <c r="BC35" s="22"/>
      <c r="BE35" s="22"/>
      <c r="BH35" s="22"/>
      <c r="BK35" s="22"/>
      <c r="BM35" s="22"/>
      <c r="BP35" s="22"/>
      <c r="BQ35" s="22"/>
      <c r="BT35" s="22"/>
      <c r="BW35" s="22"/>
      <c r="BX35" s="22"/>
      <c r="CC35" s="22"/>
      <c r="CK35" s="22"/>
      <c r="CS35" s="22"/>
      <c r="CW35" s="22"/>
      <c r="XP35" s="25"/>
    </row>
    <row r="36" spans="1:640" ht="6" customHeight="1" x14ac:dyDescent="0.15">
      <c r="A36" s="21"/>
      <c r="B36" s="22"/>
      <c r="F36" s="22"/>
      <c r="J36" s="22"/>
      <c r="K36" s="22"/>
      <c r="O36" s="22"/>
      <c r="X36" s="22"/>
      <c r="AC36" s="22"/>
      <c r="AE36" s="22"/>
      <c r="AP36" s="22"/>
      <c r="AR36" s="22"/>
      <c r="AU36" s="22"/>
      <c r="AX36" s="22"/>
      <c r="AZ36" s="22"/>
      <c r="BC36" s="22"/>
      <c r="BE36" s="22"/>
      <c r="BH36" s="22"/>
      <c r="BK36" s="22"/>
      <c r="BM36" s="22"/>
      <c r="BQ36" s="22"/>
      <c r="BR36" s="22"/>
      <c r="BS36" s="22"/>
      <c r="BT36" s="22"/>
      <c r="BU36" s="22"/>
      <c r="BV36" s="22"/>
      <c r="BW36" s="22"/>
      <c r="CP36" s="22"/>
      <c r="CQ36" s="22"/>
      <c r="CR36" s="22"/>
      <c r="CS36" s="22"/>
      <c r="CT36" s="22"/>
      <c r="CU36" s="22"/>
      <c r="CV36" s="22"/>
      <c r="XP36" s="25"/>
    </row>
    <row r="37" spans="1:640" ht="6" customHeight="1" x14ac:dyDescent="0.15">
      <c r="A37" s="26"/>
      <c r="B37" s="22"/>
      <c r="C37" s="22"/>
      <c r="D37" s="22"/>
      <c r="E37" s="22"/>
      <c r="F37" s="22"/>
      <c r="G37" s="22"/>
      <c r="H37" s="22"/>
      <c r="I37" s="22"/>
      <c r="J37" s="22"/>
      <c r="AC37" s="22"/>
      <c r="AD37" s="22"/>
      <c r="AP37" s="22"/>
      <c r="AQ37" s="22"/>
      <c r="AU37" s="22"/>
      <c r="AY37" s="22"/>
      <c r="AZ37" s="22"/>
      <c r="BC37" s="22"/>
      <c r="BD37" s="22"/>
      <c r="BH37" s="22"/>
      <c r="BL37" s="22"/>
      <c r="BM37" s="22"/>
      <c r="XP37" s="25"/>
    </row>
    <row r="38" spans="1:640" ht="6" customHeight="1" x14ac:dyDescent="0.15">
      <c r="A38" s="26"/>
      <c r="AQ38" s="22"/>
      <c r="AR38" s="22"/>
      <c r="AS38" s="22"/>
      <c r="AT38" s="22"/>
      <c r="AU38" s="22"/>
      <c r="AV38" s="22"/>
      <c r="AW38" s="22"/>
      <c r="AX38" s="22"/>
      <c r="AY38" s="22"/>
      <c r="BD38" s="22"/>
      <c r="BE38" s="22"/>
      <c r="BF38" s="22"/>
      <c r="BG38" s="22"/>
      <c r="BH38" s="22"/>
      <c r="BI38" s="22"/>
      <c r="BJ38" s="22"/>
      <c r="BK38" s="22"/>
      <c r="BL38" s="22"/>
      <c r="XP38" s="25"/>
    </row>
    <row r="39" spans="1:640" ht="6" customHeight="1" x14ac:dyDescent="0.15">
      <c r="A39" s="26"/>
      <c r="XP39" s="25"/>
    </row>
    <row r="40" spans="1:640" ht="6" customHeight="1" x14ac:dyDescent="0.15">
      <c r="A40" s="26"/>
      <c r="XP40" s="25"/>
    </row>
    <row r="41" spans="1:640" ht="6" customHeight="1" x14ac:dyDescent="0.15">
      <c r="A41" s="26"/>
      <c r="P41" s="22"/>
      <c r="Q41" s="22"/>
      <c r="R41" s="22"/>
      <c r="S41" s="22"/>
      <c r="T41" s="22"/>
      <c r="U41" s="22"/>
      <c r="V41" s="22"/>
      <c r="W41" s="22"/>
      <c r="X41" s="22"/>
      <c r="XP41" s="25"/>
    </row>
    <row r="42" spans="1:640" ht="6" customHeight="1" x14ac:dyDescent="0.15">
      <c r="A42" s="26"/>
      <c r="O42" s="22"/>
      <c r="P42" s="22"/>
      <c r="T42" s="22"/>
      <c r="X42" s="22"/>
      <c r="Y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XP42" s="25"/>
    </row>
    <row r="43" spans="1:640" ht="6" customHeight="1" x14ac:dyDescent="0.15">
      <c r="A43" s="26"/>
      <c r="O43" s="22"/>
      <c r="Q43" s="22"/>
      <c r="T43" s="22"/>
      <c r="W43" s="22"/>
      <c r="Y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XP43" s="25"/>
    </row>
    <row r="44" spans="1:640" ht="6" customHeight="1" x14ac:dyDescent="0.15">
      <c r="A44" s="26"/>
      <c r="O44" s="22"/>
      <c r="Q44" s="22"/>
      <c r="T44" s="22"/>
      <c r="W44" s="22"/>
      <c r="Y44" s="22"/>
      <c r="AP44" s="22"/>
      <c r="AQ44" s="22"/>
      <c r="AR44" s="22"/>
      <c r="AS44" s="22"/>
      <c r="AZ44" s="22"/>
      <c r="BA44" s="22"/>
      <c r="BH44" s="22"/>
      <c r="BI44" s="22"/>
      <c r="BJ44" s="22"/>
      <c r="BK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XP44" s="25"/>
    </row>
    <row r="45" spans="1:640" ht="6" customHeight="1" x14ac:dyDescent="0.15">
      <c r="A45" s="26"/>
      <c r="O45" s="22"/>
      <c r="Q45" s="22"/>
      <c r="T45" s="22"/>
      <c r="W45" s="22"/>
      <c r="Y45" s="22"/>
      <c r="AP45" s="22"/>
      <c r="AQ45" s="22"/>
      <c r="AR45" s="22"/>
      <c r="AS45" s="22"/>
      <c r="AZ45" s="22"/>
      <c r="BA45" s="22"/>
      <c r="BH45" s="22"/>
      <c r="BI45" s="22"/>
      <c r="BJ45" s="22"/>
      <c r="BK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XP45" s="25"/>
    </row>
    <row r="46" spans="1:640" ht="6" customHeight="1" x14ac:dyDescent="0.15">
      <c r="A46" s="26"/>
      <c r="O46" s="22"/>
      <c r="R46" s="22"/>
      <c r="T46" s="22"/>
      <c r="V46" s="22"/>
      <c r="Y46" s="22"/>
      <c r="AP46" s="22"/>
      <c r="AQ46" s="22"/>
      <c r="AT46" s="22"/>
      <c r="AU46" s="22"/>
      <c r="AZ46" s="22"/>
      <c r="BA46" s="22"/>
      <c r="BF46" s="22"/>
      <c r="BG46" s="22"/>
      <c r="BJ46" s="22"/>
      <c r="BK46" s="22"/>
      <c r="BQ46" s="22"/>
      <c r="BR46" s="22"/>
      <c r="BS46" s="22"/>
      <c r="BT46" s="22"/>
      <c r="BU46" s="22"/>
      <c r="BV46" s="22"/>
      <c r="BW46" s="22"/>
      <c r="BX46" s="22"/>
      <c r="CK46" s="22"/>
      <c r="CL46" s="22"/>
      <c r="CM46" s="22"/>
      <c r="CN46" s="22"/>
      <c r="DA46" s="22"/>
      <c r="DB46" s="22"/>
      <c r="DC46" s="22"/>
      <c r="DD46" s="22"/>
      <c r="DE46" s="22"/>
      <c r="DF46" s="22"/>
      <c r="DG46" s="22"/>
      <c r="DH46" s="22"/>
      <c r="XP46" s="25"/>
    </row>
    <row r="47" spans="1:640" ht="6" customHeight="1" x14ac:dyDescent="0.15">
      <c r="A47" s="26"/>
      <c r="O47" s="22"/>
      <c r="R47" s="22"/>
      <c r="T47" s="22"/>
      <c r="V47" s="22"/>
      <c r="Y47" s="22"/>
      <c r="AP47" s="22"/>
      <c r="AQ47" s="22"/>
      <c r="AT47" s="22"/>
      <c r="AU47" s="22"/>
      <c r="AZ47" s="22"/>
      <c r="BA47" s="22"/>
      <c r="BF47" s="22"/>
      <c r="BG47" s="22"/>
      <c r="BJ47" s="22"/>
      <c r="BK47" s="22"/>
      <c r="BQ47" s="22"/>
      <c r="BR47" s="22"/>
      <c r="BS47" s="22"/>
      <c r="BT47" s="22"/>
      <c r="BU47" s="22"/>
      <c r="BV47" s="22"/>
      <c r="BW47" s="22"/>
      <c r="BX47" s="22"/>
      <c r="CK47" s="22"/>
      <c r="CL47" s="22"/>
      <c r="CM47" s="22"/>
      <c r="CN47" s="22"/>
      <c r="DA47" s="22"/>
      <c r="DB47" s="22"/>
      <c r="DC47" s="22"/>
      <c r="DD47" s="22"/>
      <c r="DE47" s="22"/>
      <c r="DF47" s="22"/>
      <c r="DG47" s="22"/>
      <c r="DH47" s="22"/>
      <c r="XP47" s="25"/>
    </row>
    <row r="48" spans="1:640" ht="6" customHeight="1" x14ac:dyDescent="0.15">
      <c r="A48" s="26"/>
      <c r="O48" s="22"/>
      <c r="S48" s="22"/>
      <c r="T48" s="22"/>
      <c r="U48" s="22"/>
      <c r="Y48" s="22"/>
      <c r="AP48" s="22"/>
      <c r="AQ48" s="22"/>
      <c r="AT48" s="22"/>
      <c r="AU48" s="22"/>
      <c r="AZ48" s="22"/>
      <c r="BA48" s="22"/>
      <c r="BF48" s="22"/>
      <c r="BG48" s="22"/>
      <c r="BJ48" s="22"/>
      <c r="BK48" s="22"/>
      <c r="BQ48" s="22"/>
      <c r="BR48" s="22"/>
      <c r="BS48" s="22"/>
      <c r="BT48" s="22"/>
      <c r="BU48" s="22"/>
      <c r="BV48" s="22"/>
      <c r="BW48" s="22"/>
      <c r="BX48" s="22"/>
      <c r="CK48" s="22"/>
      <c r="CL48" s="22"/>
      <c r="CM48" s="22"/>
      <c r="CN48" s="22"/>
      <c r="DA48" s="22"/>
      <c r="DB48" s="22"/>
      <c r="DC48" s="22"/>
      <c r="DD48" s="22"/>
      <c r="DE48" s="22"/>
      <c r="DF48" s="22"/>
      <c r="DG48" s="22"/>
      <c r="DH48" s="22"/>
      <c r="XP48" s="25"/>
    </row>
    <row r="49" spans="1:640" ht="6" customHeight="1" x14ac:dyDescent="0.15">
      <c r="A49" s="26"/>
      <c r="P49" s="22"/>
      <c r="Q49" s="22"/>
      <c r="R49" s="22"/>
      <c r="S49" s="22"/>
      <c r="T49" s="22"/>
      <c r="U49" s="22"/>
      <c r="V49" s="22"/>
      <c r="W49" s="22"/>
      <c r="X49" s="22"/>
      <c r="AP49" s="22"/>
      <c r="AQ49" s="22"/>
      <c r="AT49" s="22"/>
      <c r="AU49" s="22"/>
      <c r="AZ49" s="22"/>
      <c r="BA49" s="22"/>
      <c r="BF49" s="22"/>
      <c r="BG49" s="22"/>
      <c r="BJ49" s="22"/>
      <c r="BK49" s="22"/>
      <c r="BQ49" s="22"/>
      <c r="BR49" s="22"/>
      <c r="BS49" s="22"/>
      <c r="BT49" s="22"/>
      <c r="BU49" s="22"/>
      <c r="BV49" s="22"/>
      <c r="BW49" s="22"/>
      <c r="BX49" s="22"/>
      <c r="CK49" s="22"/>
      <c r="CL49" s="22"/>
      <c r="CM49" s="22"/>
      <c r="CN49" s="22"/>
      <c r="DA49" s="22"/>
      <c r="DB49" s="22"/>
      <c r="DC49" s="22"/>
      <c r="DD49" s="22"/>
      <c r="DE49" s="22"/>
      <c r="DF49" s="22"/>
      <c r="DG49" s="22"/>
      <c r="DH49" s="22"/>
      <c r="XP49" s="25"/>
    </row>
    <row r="50" spans="1:640" ht="6" customHeight="1" x14ac:dyDescent="0.15">
      <c r="A50" s="26"/>
      <c r="O50" s="22"/>
      <c r="S50" s="22"/>
      <c r="T50" s="22"/>
      <c r="U50" s="22"/>
      <c r="Y50" s="22"/>
      <c r="AP50" s="22"/>
      <c r="AQ50" s="22"/>
      <c r="AT50" s="22"/>
      <c r="AU50" s="22"/>
      <c r="AZ50" s="22"/>
      <c r="BA50" s="22"/>
      <c r="BF50" s="22"/>
      <c r="BG50" s="22"/>
      <c r="BJ50" s="22"/>
      <c r="BK50" s="22"/>
      <c r="BQ50" s="22"/>
      <c r="BR50" s="22"/>
      <c r="BS50" s="22"/>
      <c r="BT50" s="22"/>
      <c r="BY50" s="22"/>
      <c r="BZ50" s="22"/>
      <c r="CA50" s="22"/>
      <c r="CB50" s="22"/>
      <c r="CK50" s="22"/>
      <c r="CL50" s="22"/>
      <c r="CM50" s="22"/>
      <c r="CN50" s="22"/>
      <c r="CW50" s="22"/>
      <c r="CX50" s="22"/>
      <c r="CY50" s="22"/>
      <c r="CZ50" s="22"/>
      <c r="DE50" s="22"/>
      <c r="DF50" s="22"/>
      <c r="DG50" s="22"/>
      <c r="DH50" s="22"/>
      <c r="XP50" s="25"/>
    </row>
    <row r="51" spans="1:640" ht="6" customHeight="1" x14ac:dyDescent="0.15">
      <c r="A51" s="26"/>
      <c r="O51" s="22"/>
      <c r="R51" s="22"/>
      <c r="T51" s="22"/>
      <c r="V51" s="22"/>
      <c r="Y51" s="22"/>
      <c r="AP51" s="22"/>
      <c r="AQ51" s="22"/>
      <c r="AT51" s="22"/>
      <c r="AU51" s="22"/>
      <c r="AZ51" s="22"/>
      <c r="BA51" s="22"/>
      <c r="BF51" s="22"/>
      <c r="BG51" s="22"/>
      <c r="BJ51" s="22"/>
      <c r="BK51" s="22"/>
      <c r="BQ51" s="22"/>
      <c r="BR51" s="22"/>
      <c r="BS51" s="22"/>
      <c r="BT51" s="22"/>
      <c r="BY51" s="22"/>
      <c r="BZ51" s="22"/>
      <c r="CA51" s="22"/>
      <c r="CB51" s="22"/>
      <c r="CK51" s="22"/>
      <c r="CL51" s="22"/>
      <c r="CM51" s="22"/>
      <c r="CN51" s="22"/>
      <c r="CW51" s="22"/>
      <c r="CX51" s="22"/>
      <c r="CY51" s="22"/>
      <c r="CZ51" s="22"/>
      <c r="DE51" s="22"/>
      <c r="DF51" s="22"/>
      <c r="DG51" s="22"/>
      <c r="DH51" s="22"/>
      <c r="XP51" s="25"/>
    </row>
    <row r="52" spans="1:640" ht="6" customHeight="1" x14ac:dyDescent="0.15">
      <c r="A52" s="26"/>
      <c r="O52" s="22"/>
      <c r="R52" s="22"/>
      <c r="T52" s="22"/>
      <c r="V52" s="22"/>
      <c r="Y52" s="22"/>
      <c r="AP52" s="22"/>
      <c r="AQ52" s="22"/>
      <c r="AV52" s="22"/>
      <c r="AW52" s="22"/>
      <c r="AZ52" s="22"/>
      <c r="BA52" s="22"/>
      <c r="BD52" s="22"/>
      <c r="BE52" s="22"/>
      <c r="BJ52" s="22"/>
      <c r="BK52" s="22"/>
      <c r="BQ52" s="22"/>
      <c r="BR52" s="22"/>
      <c r="BS52" s="22"/>
      <c r="BT52" s="22"/>
      <c r="BY52" s="22"/>
      <c r="BZ52" s="22"/>
      <c r="CA52" s="22"/>
      <c r="CB52" s="22"/>
      <c r="CK52" s="22"/>
      <c r="CL52" s="22"/>
      <c r="CM52" s="22"/>
      <c r="CN52" s="22"/>
      <c r="CW52" s="22"/>
      <c r="CX52" s="22"/>
      <c r="CY52" s="22"/>
      <c r="CZ52" s="22"/>
      <c r="DE52" s="22"/>
      <c r="DF52" s="22"/>
      <c r="DG52" s="22"/>
      <c r="DH52" s="22"/>
      <c r="XP52" s="25"/>
    </row>
    <row r="53" spans="1:640" ht="6" customHeight="1" x14ac:dyDescent="0.15">
      <c r="A53" s="26"/>
      <c r="O53" s="22"/>
      <c r="Q53" s="22"/>
      <c r="T53" s="22"/>
      <c r="W53" s="22"/>
      <c r="Y53" s="22"/>
      <c r="AP53" s="22"/>
      <c r="AQ53" s="22"/>
      <c r="AV53" s="22"/>
      <c r="AW53" s="22"/>
      <c r="AZ53" s="22"/>
      <c r="BA53" s="22"/>
      <c r="BD53" s="22"/>
      <c r="BE53" s="22"/>
      <c r="BJ53" s="22"/>
      <c r="BK53" s="22"/>
      <c r="BQ53" s="22"/>
      <c r="BR53" s="22"/>
      <c r="BS53" s="22"/>
      <c r="BT53" s="22"/>
      <c r="BY53" s="22"/>
      <c r="BZ53" s="22"/>
      <c r="CA53" s="22"/>
      <c r="CB53" s="22"/>
      <c r="CK53" s="22"/>
      <c r="CL53" s="22"/>
      <c r="CM53" s="22"/>
      <c r="CN53" s="22"/>
      <c r="CW53" s="22"/>
      <c r="CX53" s="22"/>
      <c r="CY53" s="22"/>
      <c r="CZ53" s="22"/>
      <c r="DE53" s="22"/>
      <c r="DF53" s="22"/>
      <c r="DG53" s="22"/>
      <c r="DH53" s="22"/>
      <c r="XP53" s="25"/>
    </row>
    <row r="54" spans="1:640" ht="6" customHeight="1" x14ac:dyDescent="0.15">
      <c r="A54" s="26"/>
      <c r="O54" s="22"/>
      <c r="Q54" s="22"/>
      <c r="T54" s="22"/>
      <c r="W54" s="22"/>
      <c r="Y54" s="22"/>
      <c r="AP54" s="22"/>
      <c r="AQ54" s="22"/>
      <c r="AV54" s="22"/>
      <c r="AW54" s="22"/>
      <c r="AZ54" s="22"/>
      <c r="BA54" s="22"/>
      <c r="BD54" s="22"/>
      <c r="BE54" s="22"/>
      <c r="BJ54" s="22"/>
      <c r="BK54" s="22"/>
      <c r="BQ54" s="22"/>
      <c r="BR54" s="22"/>
      <c r="BS54" s="22"/>
      <c r="BT54" s="22"/>
      <c r="BY54" s="22"/>
      <c r="BZ54" s="22"/>
      <c r="CA54" s="22"/>
      <c r="CB54" s="22"/>
      <c r="CK54" s="22"/>
      <c r="CL54" s="22"/>
      <c r="CM54" s="22"/>
      <c r="CN54" s="22"/>
      <c r="CW54" s="22"/>
      <c r="CX54" s="22"/>
      <c r="CY54" s="22"/>
      <c r="CZ54" s="22"/>
      <c r="DE54" s="22"/>
      <c r="DF54" s="22"/>
      <c r="DG54" s="22"/>
      <c r="DH54" s="22"/>
      <c r="XP54" s="25"/>
    </row>
    <row r="55" spans="1:640" ht="6" customHeight="1" x14ac:dyDescent="0.15">
      <c r="A55" s="26"/>
      <c r="O55" s="22"/>
      <c r="Q55" s="22"/>
      <c r="T55" s="22"/>
      <c r="W55" s="22"/>
      <c r="Y55" s="22"/>
      <c r="AP55" s="22"/>
      <c r="AQ55" s="22"/>
      <c r="AV55" s="22"/>
      <c r="AW55" s="22"/>
      <c r="AZ55" s="22"/>
      <c r="BA55" s="22"/>
      <c r="BD55" s="22"/>
      <c r="BE55" s="22"/>
      <c r="BJ55" s="22"/>
      <c r="BK55" s="22"/>
      <c r="BQ55" s="22"/>
      <c r="BR55" s="22"/>
      <c r="BS55" s="22"/>
      <c r="BT55" s="22"/>
      <c r="BY55" s="22"/>
      <c r="BZ55" s="22"/>
      <c r="CA55" s="22"/>
      <c r="CB55" s="22"/>
      <c r="CK55" s="22"/>
      <c r="CL55" s="22"/>
      <c r="CM55" s="22"/>
      <c r="CN55" s="22"/>
      <c r="CW55" s="22"/>
      <c r="CX55" s="22"/>
      <c r="CY55" s="22"/>
      <c r="CZ55" s="22"/>
      <c r="DE55" s="22"/>
      <c r="DF55" s="22"/>
      <c r="DG55" s="22"/>
      <c r="DH55" s="22"/>
      <c r="XP55" s="25"/>
    </row>
    <row r="56" spans="1:640" ht="6" customHeight="1" x14ac:dyDescent="0.15">
      <c r="A56" s="26"/>
      <c r="O56" s="22"/>
      <c r="P56" s="22"/>
      <c r="T56" s="22"/>
      <c r="X56" s="22"/>
      <c r="Y56" s="22"/>
      <c r="AP56" s="22"/>
      <c r="AQ56" s="22"/>
      <c r="AX56" s="22"/>
      <c r="AY56" s="22"/>
      <c r="AZ56" s="22"/>
      <c r="BA56" s="22"/>
      <c r="BB56" s="22"/>
      <c r="BC56" s="22"/>
      <c r="BJ56" s="22"/>
      <c r="BK56" s="22"/>
      <c r="BQ56" s="22"/>
      <c r="BR56" s="22"/>
      <c r="BS56" s="22"/>
      <c r="BT56" s="22"/>
      <c r="BY56" s="22"/>
      <c r="BZ56" s="22"/>
      <c r="CA56" s="22"/>
      <c r="CB56" s="22"/>
      <c r="CK56" s="22"/>
      <c r="CL56" s="22"/>
      <c r="CM56" s="22"/>
      <c r="CN56" s="22"/>
      <c r="CW56" s="22"/>
      <c r="CX56" s="22"/>
      <c r="CY56" s="22"/>
      <c r="CZ56" s="22"/>
      <c r="DE56" s="22"/>
      <c r="DF56" s="22"/>
      <c r="DG56" s="22"/>
      <c r="DH56" s="22"/>
      <c r="XP56" s="25"/>
    </row>
    <row r="57" spans="1:640" ht="6" customHeight="1" x14ac:dyDescent="0.15">
      <c r="A57" s="26"/>
      <c r="P57" s="22"/>
      <c r="Q57" s="22"/>
      <c r="R57" s="22"/>
      <c r="S57" s="22"/>
      <c r="T57" s="22"/>
      <c r="U57" s="22"/>
      <c r="V57" s="22"/>
      <c r="W57" s="22"/>
      <c r="X57" s="22"/>
      <c r="AP57" s="22"/>
      <c r="AQ57" s="22"/>
      <c r="AX57" s="22"/>
      <c r="AY57" s="22"/>
      <c r="AZ57" s="22"/>
      <c r="BA57" s="22"/>
      <c r="BB57" s="22"/>
      <c r="BC57" s="22"/>
      <c r="BJ57" s="22"/>
      <c r="BK57" s="22"/>
      <c r="BQ57" s="22"/>
      <c r="BR57" s="22"/>
      <c r="BS57" s="22"/>
      <c r="BT57" s="22"/>
      <c r="BY57" s="22"/>
      <c r="BZ57" s="22"/>
      <c r="CA57" s="22"/>
      <c r="CB57" s="22"/>
      <c r="CK57" s="22"/>
      <c r="CL57" s="22"/>
      <c r="CM57" s="22"/>
      <c r="CN57" s="22"/>
      <c r="CW57" s="22"/>
      <c r="CX57" s="22"/>
      <c r="CY57" s="22"/>
      <c r="CZ57" s="22"/>
      <c r="DE57" s="22"/>
      <c r="DF57" s="22"/>
      <c r="DG57" s="22"/>
      <c r="DH57" s="22"/>
      <c r="XP57" s="25"/>
    </row>
    <row r="58" spans="1:640" ht="6" customHeight="1" x14ac:dyDescent="0.15">
      <c r="A58" s="26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Q58" s="22"/>
      <c r="BR58" s="22"/>
      <c r="BS58" s="22"/>
      <c r="BT58" s="22"/>
      <c r="CC58" s="22"/>
      <c r="CD58" s="22"/>
      <c r="CE58" s="22"/>
      <c r="CF58" s="22"/>
      <c r="CK58" s="22"/>
      <c r="CL58" s="22"/>
      <c r="CM58" s="22"/>
      <c r="CN58" s="22"/>
      <c r="CS58" s="22"/>
      <c r="CT58" s="22"/>
      <c r="CU58" s="22"/>
      <c r="CV58" s="22"/>
      <c r="DE58" s="22"/>
      <c r="DF58" s="22"/>
      <c r="DG58" s="22"/>
      <c r="DH58" s="22"/>
      <c r="XP58" s="25"/>
    </row>
    <row r="59" spans="1:640" ht="6" customHeight="1" x14ac:dyDescent="0.15">
      <c r="A59" s="26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Q59" s="22"/>
      <c r="BR59" s="22"/>
      <c r="BS59" s="22"/>
      <c r="BT59" s="22"/>
      <c r="CC59" s="22"/>
      <c r="CD59" s="22"/>
      <c r="CE59" s="22"/>
      <c r="CF59" s="22"/>
      <c r="CK59" s="22"/>
      <c r="CL59" s="22"/>
      <c r="CM59" s="22"/>
      <c r="CN59" s="22"/>
      <c r="CS59" s="22"/>
      <c r="CT59" s="22"/>
      <c r="CU59" s="22"/>
      <c r="CV59" s="22"/>
      <c r="DE59" s="22"/>
      <c r="DF59" s="22"/>
      <c r="DG59" s="22"/>
      <c r="DH59" s="22"/>
      <c r="XP59" s="25"/>
    </row>
    <row r="60" spans="1:640" ht="6" customHeight="1" x14ac:dyDescent="0.15">
      <c r="A60" s="26"/>
      <c r="AP60" s="22"/>
      <c r="AQ60" s="22"/>
      <c r="AX60" s="22"/>
      <c r="AY60" s="22"/>
      <c r="AZ60" s="22"/>
      <c r="BA60" s="22"/>
      <c r="BB60" s="22"/>
      <c r="BC60" s="22"/>
      <c r="BJ60" s="22"/>
      <c r="BK60" s="22"/>
      <c r="BQ60" s="22"/>
      <c r="BR60" s="22"/>
      <c r="BS60" s="22"/>
      <c r="BT60" s="22"/>
      <c r="CC60" s="22"/>
      <c r="CD60" s="22"/>
      <c r="CE60" s="22"/>
      <c r="CF60" s="22"/>
      <c r="CK60" s="22"/>
      <c r="CL60" s="22"/>
      <c r="CM60" s="22"/>
      <c r="CN60" s="22"/>
      <c r="CS60" s="22"/>
      <c r="CT60" s="22"/>
      <c r="CU60" s="22"/>
      <c r="CV60" s="22"/>
      <c r="DE60" s="22"/>
      <c r="DF60" s="22"/>
      <c r="DG60" s="22"/>
      <c r="DH60" s="22"/>
      <c r="XP60" s="25"/>
    </row>
    <row r="61" spans="1:640" ht="6" customHeight="1" x14ac:dyDescent="0.15">
      <c r="A61" s="26"/>
      <c r="AP61" s="22"/>
      <c r="AQ61" s="22"/>
      <c r="AX61" s="22"/>
      <c r="AY61" s="22"/>
      <c r="AZ61" s="22"/>
      <c r="BA61" s="22"/>
      <c r="BB61" s="22"/>
      <c r="BC61" s="22"/>
      <c r="BJ61" s="22"/>
      <c r="BK61" s="22"/>
      <c r="BQ61" s="22"/>
      <c r="BR61" s="22"/>
      <c r="BS61" s="22"/>
      <c r="BT61" s="22"/>
      <c r="CC61" s="22"/>
      <c r="CD61" s="22"/>
      <c r="CE61" s="22"/>
      <c r="CF61" s="22"/>
      <c r="CK61" s="22"/>
      <c r="CL61" s="22"/>
      <c r="CM61" s="22"/>
      <c r="CN61" s="22"/>
      <c r="CS61" s="22"/>
      <c r="CT61" s="22"/>
      <c r="CU61" s="22"/>
      <c r="CV61" s="22"/>
      <c r="DE61" s="22"/>
      <c r="DF61" s="22"/>
      <c r="DG61" s="22"/>
      <c r="DH61" s="22"/>
      <c r="XP61" s="25"/>
    </row>
    <row r="62" spans="1:640" ht="6" customHeight="1" x14ac:dyDescent="0.15">
      <c r="A62" s="26"/>
      <c r="AP62" s="22"/>
      <c r="AQ62" s="22"/>
      <c r="AV62" s="22"/>
      <c r="AW62" s="22"/>
      <c r="AZ62" s="22"/>
      <c r="BA62" s="22"/>
      <c r="BD62" s="22"/>
      <c r="BE62" s="22"/>
      <c r="BJ62" s="22"/>
      <c r="BK62" s="22"/>
      <c r="BQ62" s="22"/>
      <c r="BR62" s="22"/>
      <c r="BS62" s="22"/>
      <c r="BT62" s="22"/>
      <c r="CC62" s="22"/>
      <c r="CD62" s="22"/>
      <c r="CE62" s="22"/>
      <c r="CF62" s="22"/>
      <c r="CK62" s="22"/>
      <c r="CL62" s="22"/>
      <c r="CM62" s="22"/>
      <c r="CN62" s="22"/>
      <c r="CS62" s="22"/>
      <c r="CT62" s="22"/>
      <c r="CU62" s="22"/>
      <c r="CV62" s="22"/>
      <c r="DE62" s="22"/>
      <c r="DF62" s="22"/>
      <c r="DG62" s="22"/>
      <c r="DH62" s="22"/>
      <c r="XP62" s="25"/>
    </row>
    <row r="63" spans="1:640" ht="6" customHeight="1" x14ac:dyDescent="0.15">
      <c r="A63" s="26"/>
      <c r="P63" s="12" t="s">
        <v>2</v>
      </c>
      <c r="Q63" s="12" t="s">
        <v>9</v>
      </c>
      <c r="S63" s="12" t="s">
        <v>10</v>
      </c>
      <c r="X63" s="12" t="s">
        <v>17</v>
      </c>
      <c r="AP63" s="22"/>
      <c r="AQ63" s="22"/>
      <c r="AV63" s="22"/>
      <c r="AW63" s="22"/>
      <c r="AZ63" s="22"/>
      <c r="BA63" s="22"/>
      <c r="BD63" s="22"/>
      <c r="BE63" s="22"/>
      <c r="BJ63" s="22"/>
      <c r="BK63" s="22"/>
      <c r="BQ63" s="22"/>
      <c r="BR63" s="22"/>
      <c r="BS63" s="22"/>
      <c r="BT63" s="22"/>
      <c r="CC63" s="22"/>
      <c r="CD63" s="22"/>
      <c r="CE63" s="22"/>
      <c r="CF63" s="22"/>
      <c r="CK63" s="22"/>
      <c r="CL63" s="22"/>
      <c r="CM63" s="22"/>
      <c r="CN63" s="22"/>
      <c r="CS63" s="22"/>
      <c r="CT63" s="22"/>
      <c r="CU63" s="22"/>
      <c r="CV63" s="22"/>
      <c r="DE63" s="22"/>
      <c r="DF63" s="22"/>
      <c r="DG63" s="22"/>
      <c r="DH63" s="22"/>
      <c r="XP63" s="25"/>
    </row>
    <row r="64" spans="1:640" ht="6" customHeight="1" x14ac:dyDescent="0.15">
      <c r="A64" s="26"/>
      <c r="O64" s="12" t="s">
        <v>3</v>
      </c>
      <c r="P64" s="12">
        <v>320</v>
      </c>
      <c r="Q64" s="12">
        <v>352</v>
      </c>
      <c r="S64" s="35" t="s">
        <v>11</v>
      </c>
      <c r="X64" s="36">
        <v>101100000</v>
      </c>
      <c r="AP64" s="22"/>
      <c r="AQ64" s="22"/>
      <c r="AV64" s="22"/>
      <c r="AW64" s="22"/>
      <c r="AZ64" s="22"/>
      <c r="BA64" s="22"/>
      <c r="BD64" s="22"/>
      <c r="BE64" s="22"/>
      <c r="BJ64" s="22"/>
      <c r="BK64" s="22"/>
      <c r="BQ64" s="22"/>
      <c r="BR64" s="22"/>
      <c r="BS64" s="22"/>
      <c r="BT64" s="22"/>
      <c r="CC64" s="22"/>
      <c r="CD64" s="22"/>
      <c r="CE64" s="22"/>
      <c r="CF64" s="22"/>
      <c r="CK64" s="22"/>
      <c r="CL64" s="22"/>
      <c r="CM64" s="22"/>
      <c r="CN64" s="22"/>
      <c r="CS64" s="22"/>
      <c r="CT64" s="22"/>
      <c r="CU64" s="22"/>
      <c r="CV64" s="22"/>
      <c r="DE64" s="22"/>
      <c r="DF64" s="22"/>
      <c r="DG64" s="22"/>
      <c r="DH64" s="22"/>
      <c r="XP64" s="25"/>
    </row>
    <row r="65" spans="1:640" ht="6" customHeight="1" x14ac:dyDescent="0.15">
      <c r="A65" s="26"/>
      <c r="O65" s="12" t="s">
        <v>4</v>
      </c>
      <c r="P65" s="12">
        <v>394</v>
      </c>
      <c r="Q65" s="12">
        <v>352</v>
      </c>
      <c r="S65" s="35" t="s">
        <v>12</v>
      </c>
      <c r="X65" s="36">
        <v>101100000</v>
      </c>
      <c r="AP65" s="22"/>
      <c r="AQ65" s="22"/>
      <c r="AV65" s="22"/>
      <c r="AW65" s="22"/>
      <c r="AZ65" s="22"/>
      <c r="BA65" s="22"/>
      <c r="BD65" s="22"/>
      <c r="BE65" s="22"/>
      <c r="BJ65" s="22"/>
      <c r="BK65" s="22"/>
      <c r="BQ65" s="22"/>
      <c r="BR65" s="22"/>
      <c r="BS65" s="22"/>
      <c r="BT65" s="22"/>
      <c r="CC65" s="22"/>
      <c r="CD65" s="22"/>
      <c r="CE65" s="22"/>
      <c r="CF65" s="22"/>
      <c r="CK65" s="22"/>
      <c r="CL65" s="22"/>
      <c r="CM65" s="22"/>
      <c r="CN65" s="22"/>
      <c r="CS65" s="22"/>
      <c r="CT65" s="22"/>
      <c r="CU65" s="22"/>
      <c r="CV65" s="22"/>
      <c r="DE65" s="22"/>
      <c r="DF65" s="22"/>
      <c r="DG65" s="22"/>
      <c r="DH65" s="22"/>
      <c r="XP65" s="25"/>
    </row>
    <row r="66" spans="1:640" ht="6" customHeight="1" x14ac:dyDescent="0.15">
      <c r="A66" s="26"/>
      <c r="O66" s="12" t="s">
        <v>5</v>
      </c>
      <c r="P66" s="12">
        <v>468</v>
      </c>
      <c r="Q66" s="12">
        <v>352</v>
      </c>
      <c r="S66" s="35" t="s">
        <v>13</v>
      </c>
      <c r="X66" s="36">
        <v>101100000</v>
      </c>
      <c r="AP66" s="22"/>
      <c r="AQ66" s="22"/>
      <c r="AV66" s="22"/>
      <c r="AW66" s="22"/>
      <c r="AZ66" s="22"/>
      <c r="BA66" s="22"/>
      <c r="BD66" s="22"/>
      <c r="BE66" s="22"/>
      <c r="BJ66" s="22"/>
      <c r="BK66" s="22"/>
      <c r="BQ66" s="22"/>
      <c r="BR66" s="22"/>
      <c r="BS66" s="22"/>
      <c r="BT66" s="22"/>
      <c r="CC66" s="22"/>
      <c r="CD66" s="22"/>
      <c r="CE66" s="22"/>
      <c r="CF66" s="22"/>
      <c r="CK66" s="22"/>
      <c r="CL66" s="22"/>
      <c r="CM66" s="22"/>
      <c r="CN66" s="22"/>
      <c r="CS66" s="22"/>
      <c r="CT66" s="22"/>
      <c r="CU66" s="22"/>
      <c r="CV66" s="22"/>
      <c r="DE66" s="22"/>
      <c r="DF66" s="22"/>
      <c r="DG66" s="22"/>
      <c r="DH66" s="22"/>
      <c r="XP66" s="25"/>
    </row>
    <row r="67" spans="1:640" ht="6" customHeight="1" x14ac:dyDescent="0.15">
      <c r="A67" s="26"/>
      <c r="O67" s="12" t="s">
        <v>6</v>
      </c>
      <c r="P67" s="12">
        <v>510</v>
      </c>
      <c r="Q67" s="12">
        <v>352</v>
      </c>
      <c r="S67" s="35" t="s">
        <v>14</v>
      </c>
      <c r="X67" s="36">
        <v>101100000</v>
      </c>
      <c r="AP67" s="22"/>
      <c r="AQ67" s="22"/>
      <c r="AV67" s="22"/>
      <c r="AW67" s="22"/>
      <c r="AZ67" s="22"/>
      <c r="BA67" s="22"/>
      <c r="BD67" s="22"/>
      <c r="BE67" s="22"/>
      <c r="BJ67" s="22"/>
      <c r="BK67" s="22"/>
      <c r="BQ67" s="22"/>
      <c r="BR67" s="22"/>
      <c r="BS67" s="22"/>
      <c r="BT67" s="22"/>
      <c r="CC67" s="22"/>
      <c r="CD67" s="22"/>
      <c r="CE67" s="22"/>
      <c r="CF67" s="22"/>
      <c r="CK67" s="22"/>
      <c r="CL67" s="22"/>
      <c r="CM67" s="22"/>
      <c r="CN67" s="22"/>
      <c r="CS67" s="22"/>
      <c r="CT67" s="22"/>
      <c r="CU67" s="22"/>
      <c r="CV67" s="22"/>
      <c r="DE67" s="22"/>
      <c r="DF67" s="22"/>
      <c r="DG67" s="22"/>
      <c r="DH67" s="22"/>
      <c r="XP67" s="25"/>
    </row>
    <row r="68" spans="1:640" ht="6" customHeight="1" x14ac:dyDescent="0.15">
      <c r="A68" s="26"/>
      <c r="O68" s="12" t="s">
        <v>7</v>
      </c>
      <c r="P68" s="12">
        <v>552</v>
      </c>
      <c r="Q68" s="12">
        <v>352</v>
      </c>
      <c r="S68" s="35" t="s">
        <v>15</v>
      </c>
      <c r="X68" s="36">
        <v>101100000</v>
      </c>
      <c r="AP68" s="22"/>
      <c r="AQ68" s="22"/>
      <c r="AT68" s="22"/>
      <c r="AU68" s="22"/>
      <c r="AZ68" s="22"/>
      <c r="BA68" s="22"/>
      <c r="BF68" s="22"/>
      <c r="BG68" s="22"/>
      <c r="BJ68" s="22"/>
      <c r="BK68" s="22"/>
      <c r="BQ68" s="22"/>
      <c r="BR68" s="22"/>
      <c r="BS68" s="22"/>
      <c r="BT68" s="22"/>
      <c r="CC68" s="22"/>
      <c r="CD68" s="22"/>
      <c r="CE68" s="22"/>
      <c r="CF68" s="22"/>
      <c r="CK68" s="22"/>
      <c r="CL68" s="22"/>
      <c r="CM68" s="22"/>
      <c r="CN68" s="22"/>
      <c r="CS68" s="22"/>
      <c r="CT68" s="22"/>
      <c r="CU68" s="22"/>
      <c r="CV68" s="22"/>
      <c r="DE68" s="22"/>
      <c r="DF68" s="22"/>
      <c r="DG68" s="22"/>
      <c r="DH68" s="22"/>
      <c r="XP68" s="25"/>
    </row>
    <row r="69" spans="1:640" ht="6" customHeight="1" x14ac:dyDescent="0.15">
      <c r="A69" s="26"/>
      <c r="O69" s="12" t="s">
        <v>8</v>
      </c>
      <c r="P69" s="12">
        <v>594</v>
      </c>
      <c r="Q69" s="12">
        <v>352</v>
      </c>
      <c r="S69" s="35" t="s">
        <v>16</v>
      </c>
      <c r="X69" s="36">
        <v>101100000</v>
      </c>
      <c r="AP69" s="22"/>
      <c r="AQ69" s="22"/>
      <c r="AT69" s="22"/>
      <c r="AU69" s="22"/>
      <c r="AZ69" s="22"/>
      <c r="BA69" s="22"/>
      <c r="BF69" s="22"/>
      <c r="BG69" s="22"/>
      <c r="BJ69" s="22"/>
      <c r="BK69" s="22"/>
      <c r="BQ69" s="22"/>
      <c r="BR69" s="22"/>
      <c r="BS69" s="22"/>
      <c r="BT69" s="22"/>
      <c r="CC69" s="22"/>
      <c r="CD69" s="22"/>
      <c r="CE69" s="22"/>
      <c r="CF69" s="22"/>
      <c r="CK69" s="22"/>
      <c r="CL69" s="22"/>
      <c r="CM69" s="22"/>
      <c r="CN69" s="22"/>
      <c r="CS69" s="22"/>
      <c r="CT69" s="22"/>
      <c r="CU69" s="22"/>
      <c r="CV69" s="22"/>
      <c r="DE69" s="22"/>
      <c r="DF69" s="22"/>
      <c r="DG69" s="22"/>
      <c r="DH69" s="22"/>
      <c r="XP69" s="25"/>
    </row>
    <row r="70" spans="1:640" ht="6" customHeight="1" x14ac:dyDescent="0.15">
      <c r="A70" s="26"/>
      <c r="S70" s="12" t="str">
        <f>_xlfn.CONCAT(S64:S69)</f>
        <v>010100000001100010100111010100011111111010001010001001010010</v>
      </c>
      <c r="AP70" s="22"/>
      <c r="AQ70" s="22"/>
      <c r="AT70" s="22"/>
      <c r="AU70" s="22"/>
      <c r="AZ70" s="22"/>
      <c r="BA70" s="22"/>
      <c r="BF70" s="22"/>
      <c r="BG70" s="22"/>
      <c r="BJ70" s="22"/>
      <c r="BK70" s="22"/>
      <c r="BQ70" s="22"/>
      <c r="BR70" s="22"/>
      <c r="BS70" s="22"/>
      <c r="BT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DE70" s="22"/>
      <c r="DF70" s="22"/>
      <c r="DG70" s="22"/>
      <c r="DH70" s="22"/>
      <c r="XP70" s="25"/>
    </row>
    <row r="71" spans="1:640" ht="6" customHeight="1" x14ac:dyDescent="0.15">
      <c r="A71" s="26"/>
      <c r="X71" s="12" t="str">
        <f>_xlfn.CONCAT(X64:X69)</f>
        <v>101100000101100000101100000101100000101100000101100000</v>
      </c>
      <c r="AP71" s="22"/>
      <c r="AQ71" s="22"/>
      <c r="AT71" s="22"/>
      <c r="AU71" s="22"/>
      <c r="AZ71" s="22"/>
      <c r="BA71" s="22"/>
      <c r="BF71" s="22"/>
      <c r="BG71" s="22"/>
      <c r="BJ71" s="22"/>
      <c r="BK71" s="22"/>
      <c r="BQ71" s="22"/>
      <c r="BR71" s="22"/>
      <c r="BS71" s="22"/>
      <c r="BT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DE71" s="22"/>
      <c r="DF71" s="22"/>
      <c r="DG71" s="22"/>
      <c r="DH71" s="22"/>
      <c r="XP71" s="25"/>
    </row>
    <row r="72" spans="1:640" ht="6" customHeight="1" x14ac:dyDescent="0.15">
      <c r="A72" s="26"/>
      <c r="AP72" s="22"/>
      <c r="AQ72" s="22"/>
      <c r="AR72" s="22"/>
      <c r="AS72" s="22"/>
      <c r="AZ72" s="22"/>
      <c r="BA72" s="22"/>
      <c r="BH72" s="22"/>
      <c r="BI72" s="22"/>
      <c r="BJ72" s="22"/>
      <c r="BK72" s="22"/>
      <c r="BQ72" s="22"/>
      <c r="BR72" s="22"/>
      <c r="BS72" s="22"/>
      <c r="BT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DE72" s="22"/>
      <c r="DF72" s="22"/>
      <c r="DG72" s="22"/>
      <c r="DH72" s="22"/>
      <c r="XP72" s="25"/>
    </row>
    <row r="73" spans="1:640" ht="6" customHeight="1" x14ac:dyDescent="0.15">
      <c r="A73" s="26"/>
      <c r="AP73" s="22"/>
      <c r="AQ73" s="22"/>
      <c r="AR73" s="22"/>
      <c r="AS73" s="22"/>
      <c r="AZ73" s="22"/>
      <c r="BA73" s="22"/>
      <c r="BH73" s="22"/>
      <c r="BI73" s="22"/>
      <c r="BJ73" s="22"/>
      <c r="BK73" s="22"/>
      <c r="BQ73" s="22"/>
      <c r="BR73" s="22"/>
      <c r="BS73" s="22"/>
      <c r="BT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DE73" s="22"/>
      <c r="DF73" s="22"/>
      <c r="DG73" s="22"/>
      <c r="DH73" s="22"/>
      <c r="XP73" s="25"/>
    </row>
    <row r="74" spans="1:640" ht="6" customHeight="1" x14ac:dyDescent="0.15">
      <c r="A74" s="26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XP74" s="25"/>
    </row>
    <row r="75" spans="1:640" ht="6" customHeight="1" x14ac:dyDescent="0.15">
      <c r="A75" s="26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XP75" s="25"/>
    </row>
    <row r="76" spans="1:640" ht="6" customHeight="1" x14ac:dyDescent="0.15">
      <c r="A76" s="26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XP76" s="25"/>
    </row>
    <row r="77" spans="1:640" ht="6" customHeight="1" x14ac:dyDescent="0.15">
      <c r="A77" s="26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XP77" s="25"/>
    </row>
    <row r="78" spans="1:640" ht="6" customHeight="1" x14ac:dyDescent="0.15">
      <c r="A78" s="26"/>
      <c r="BQ78" s="22"/>
      <c r="BR78" s="22"/>
      <c r="BS78" s="22"/>
      <c r="BT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DE78" s="22"/>
      <c r="DF78" s="22"/>
      <c r="DG78" s="22"/>
      <c r="DH78" s="22"/>
      <c r="XP78" s="25"/>
    </row>
    <row r="79" spans="1:640" ht="6" customHeight="1" x14ac:dyDescent="0.15">
      <c r="A79" s="26"/>
      <c r="BQ79" s="22"/>
      <c r="BR79" s="22"/>
      <c r="BS79" s="22"/>
      <c r="BT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DE79" s="22"/>
      <c r="DF79" s="22"/>
      <c r="DG79" s="22"/>
      <c r="DH79" s="22"/>
      <c r="XP79" s="25"/>
    </row>
    <row r="80" spans="1:640" ht="6" customHeight="1" x14ac:dyDescent="0.15">
      <c r="A80" s="26"/>
      <c r="BQ80" s="22"/>
      <c r="BR80" s="22"/>
      <c r="BS80" s="22"/>
      <c r="BT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DE80" s="22"/>
      <c r="DF80" s="22"/>
      <c r="DG80" s="22"/>
      <c r="DH80" s="22"/>
      <c r="XP80" s="25"/>
    </row>
    <row r="81" spans="1:640" ht="6" customHeight="1" x14ac:dyDescent="0.15">
      <c r="A81" s="26"/>
      <c r="BQ81" s="22"/>
      <c r="BR81" s="22"/>
      <c r="BS81" s="22"/>
      <c r="BT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DE81" s="22"/>
      <c r="DF81" s="22"/>
      <c r="DG81" s="22"/>
      <c r="DH81" s="22"/>
      <c r="XP81" s="25"/>
    </row>
    <row r="82" spans="1:640" ht="6" customHeight="1" x14ac:dyDescent="0.15">
      <c r="A82" s="26"/>
      <c r="BQ82" s="22"/>
      <c r="BR82" s="22"/>
      <c r="BS82" s="22"/>
      <c r="BT82" s="22"/>
      <c r="CC82" s="22"/>
      <c r="CD82" s="22"/>
      <c r="CE82" s="22"/>
      <c r="CF82" s="22"/>
      <c r="CK82" s="22"/>
      <c r="CL82" s="22"/>
      <c r="CM82" s="22"/>
      <c r="CN82" s="22"/>
      <c r="CS82" s="22"/>
      <c r="CT82" s="22"/>
      <c r="CU82" s="22"/>
      <c r="CV82" s="22"/>
      <c r="DE82" s="22"/>
      <c r="DF82" s="22"/>
      <c r="DG82" s="22"/>
      <c r="DH82" s="22"/>
      <c r="XP82" s="25"/>
    </row>
    <row r="83" spans="1:640" ht="6" customHeight="1" x14ac:dyDescent="0.15">
      <c r="A83" s="26"/>
      <c r="BQ83" s="22"/>
      <c r="BR83" s="22"/>
      <c r="BS83" s="22"/>
      <c r="BT83" s="22"/>
      <c r="CC83" s="22"/>
      <c r="CD83" s="22"/>
      <c r="CE83" s="22"/>
      <c r="CF83" s="22"/>
      <c r="CK83" s="22"/>
      <c r="CL83" s="22"/>
      <c r="CM83" s="22"/>
      <c r="CN83" s="22"/>
      <c r="CS83" s="22"/>
      <c r="CT83" s="22"/>
      <c r="CU83" s="22"/>
      <c r="CV83" s="22"/>
      <c r="DE83" s="22"/>
      <c r="DF83" s="22"/>
      <c r="DG83" s="22"/>
      <c r="DH83" s="22"/>
      <c r="XP83" s="25"/>
    </row>
    <row r="84" spans="1:640" ht="6" customHeight="1" x14ac:dyDescent="0.15">
      <c r="A84" s="26"/>
      <c r="BQ84" s="22"/>
      <c r="BR84" s="22"/>
      <c r="BS84" s="22"/>
      <c r="BT84" s="22"/>
      <c r="CC84" s="22"/>
      <c r="CD84" s="22"/>
      <c r="CE84" s="22"/>
      <c r="CF84" s="22"/>
      <c r="CK84" s="22"/>
      <c r="CL84" s="22"/>
      <c r="CM84" s="22"/>
      <c r="CN84" s="22"/>
      <c r="CS84" s="22"/>
      <c r="CT84" s="22"/>
      <c r="CU84" s="22"/>
      <c r="CV84" s="22"/>
      <c r="DE84" s="22"/>
      <c r="DF84" s="22"/>
      <c r="DG84" s="22"/>
      <c r="DH84" s="22"/>
      <c r="XP84" s="25"/>
    </row>
    <row r="85" spans="1:640" ht="6" customHeight="1" x14ac:dyDescent="0.15">
      <c r="A85" s="26"/>
      <c r="BQ85" s="22"/>
      <c r="BR85" s="22"/>
      <c r="BS85" s="22"/>
      <c r="BT85" s="22"/>
      <c r="CC85" s="22"/>
      <c r="CD85" s="22"/>
      <c r="CE85" s="22"/>
      <c r="CF85" s="22"/>
      <c r="CK85" s="22"/>
      <c r="CL85" s="22"/>
      <c r="CM85" s="22"/>
      <c r="CN85" s="22"/>
      <c r="CS85" s="22"/>
      <c r="CT85" s="22"/>
      <c r="CU85" s="22"/>
      <c r="CV85" s="22"/>
      <c r="DE85" s="22"/>
      <c r="DF85" s="22"/>
      <c r="DG85" s="22"/>
      <c r="DH85" s="22"/>
      <c r="XP85" s="25"/>
    </row>
    <row r="86" spans="1:640" ht="6" customHeight="1" x14ac:dyDescent="0.15">
      <c r="A86" s="26"/>
      <c r="BQ86" s="22"/>
      <c r="BR86" s="22"/>
      <c r="BS86" s="22"/>
      <c r="BT86" s="22"/>
      <c r="CC86" s="22"/>
      <c r="CD86" s="22"/>
      <c r="CE86" s="22"/>
      <c r="CF86" s="22"/>
      <c r="CK86" s="22"/>
      <c r="CL86" s="22"/>
      <c r="CM86" s="22"/>
      <c r="CN86" s="22"/>
      <c r="CS86" s="22"/>
      <c r="CT86" s="22"/>
      <c r="CU86" s="22"/>
      <c r="CV86" s="22"/>
      <c r="DE86" s="22"/>
      <c r="DF86" s="22"/>
      <c r="DG86" s="22"/>
      <c r="DH86" s="22"/>
      <c r="XP86" s="25"/>
    </row>
    <row r="87" spans="1:640" ht="6" customHeight="1" x14ac:dyDescent="0.15">
      <c r="A87" s="26"/>
      <c r="BQ87" s="22"/>
      <c r="BR87" s="22"/>
      <c r="BS87" s="22"/>
      <c r="BT87" s="22"/>
      <c r="CC87" s="22"/>
      <c r="CD87" s="22"/>
      <c r="CE87" s="22"/>
      <c r="CF87" s="22"/>
      <c r="CK87" s="22"/>
      <c r="CL87" s="22"/>
      <c r="CM87" s="22"/>
      <c r="CN87" s="22"/>
      <c r="CS87" s="22"/>
      <c r="CT87" s="22"/>
      <c r="CU87" s="22"/>
      <c r="CV87" s="22"/>
      <c r="DE87" s="22"/>
      <c r="DF87" s="22"/>
      <c r="DG87" s="22"/>
      <c r="DH87" s="22"/>
      <c r="XP87" s="25"/>
    </row>
    <row r="88" spans="1:640" ht="6" customHeight="1" x14ac:dyDescent="0.15">
      <c r="A88" s="26"/>
      <c r="BQ88" s="22"/>
      <c r="BR88" s="22"/>
      <c r="BS88" s="22"/>
      <c r="BT88" s="22"/>
      <c r="CC88" s="22"/>
      <c r="CD88" s="22"/>
      <c r="CE88" s="22"/>
      <c r="CF88" s="22"/>
      <c r="CK88" s="22"/>
      <c r="CL88" s="22"/>
      <c r="CM88" s="22"/>
      <c r="CN88" s="22"/>
      <c r="CS88" s="22"/>
      <c r="CT88" s="22"/>
      <c r="CU88" s="22"/>
      <c r="CV88" s="22"/>
      <c r="DE88" s="22"/>
      <c r="DF88" s="22"/>
      <c r="DG88" s="22"/>
      <c r="DH88" s="22"/>
      <c r="XP88" s="25"/>
    </row>
    <row r="89" spans="1:640" ht="6" customHeight="1" x14ac:dyDescent="0.15">
      <c r="A89" s="26"/>
      <c r="BQ89" s="22"/>
      <c r="BR89" s="22"/>
      <c r="BS89" s="22"/>
      <c r="BT89" s="22"/>
      <c r="CC89" s="22"/>
      <c r="CD89" s="22"/>
      <c r="CE89" s="22"/>
      <c r="CF89" s="22"/>
      <c r="CK89" s="22"/>
      <c r="CL89" s="22"/>
      <c r="CM89" s="22"/>
      <c r="CN89" s="22"/>
      <c r="CS89" s="22"/>
      <c r="CT89" s="22"/>
      <c r="CU89" s="22"/>
      <c r="CV89" s="22"/>
      <c r="DE89" s="22"/>
      <c r="DF89" s="22"/>
      <c r="DG89" s="22"/>
      <c r="DH89" s="22"/>
      <c r="XP89" s="25"/>
    </row>
    <row r="90" spans="1:640" ht="6" customHeight="1" x14ac:dyDescent="0.15">
      <c r="A90" s="26"/>
      <c r="BQ90" s="22"/>
      <c r="BR90" s="22"/>
      <c r="BS90" s="22"/>
      <c r="BT90" s="22"/>
      <c r="CC90" s="22"/>
      <c r="CD90" s="22"/>
      <c r="CE90" s="22"/>
      <c r="CF90" s="22"/>
      <c r="CK90" s="22"/>
      <c r="CL90" s="22"/>
      <c r="CM90" s="22"/>
      <c r="CN90" s="22"/>
      <c r="CS90" s="22"/>
      <c r="CT90" s="22"/>
      <c r="CU90" s="22"/>
      <c r="CV90" s="22"/>
      <c r="DE90" s="22"/>
      <c r="DF90" s="22"/>
      <c r="DG90" s="22"/>
      <c r="DH90" s="22"/>
      <c r="XP90" s="25"/>
    </row>
    <row r="91" spans="1:640" ht="6" customHeight="1" x14ac:dyDescent="0.15">
      <c r="A91" s="26"/>
      <c r="BQ91" s="22"/>
      <c r="BR91" s="22"/>
      <c r="BS91" s="22"/>
      <c r="BT91" s="22"/>
      <c r="CC91" s="22"/>
      <c r="CD91" s="22"/>
      <c r="CE91" s="22"/>
      <c r="CF91" s="22"/>
      <c r="CK91" s="22"/>
      <c r="CL91" s="22"/>
      <c r="CM91" s="22"/>
      <c r="CN91" s="22"/>
      <c r="CS91" s="22"/>
      <c r="CT91" s="22"/>
      <c r="CU91" s="22"/>
      <c r="CV91" s="22"/>
      <c r="DE91" s="22"/>
      <c r="DF91" s="22"/>
      <c r="DG91" s="22"/>
      <c r="DH91" s="22"/>
      <c r="XP91" s="25"/>
    </row>
    <row r="92" spans="1:640" ht="6" customHeight="1" x14ac:dyDescent="0.15">
      <c r="A92" s="26"/>
      <c r="BQ92" s="22"/>
      <c r="BR92" s="22"/>
      <c r="BS92" s="22"/>
      <c r="BT92" s="22"/>
      <c r="CC92" s="22"/>
      <c r="CD92" s="22"/>
      <c r="CE92" s="22"/>
      <c r="CF92" s="22"/>
      <c r="CK92" s="22"/>
      <c r="CL92" s="22"/>
      <c r="CM92" s="22"/>
      <c r="CN92" s="22"/>
      <c r="CS92" s="22"/>
      <c r="CT92" s="22"/>
      <c r="CU92" s="22"/>
      <c r="CV92" s="22"/>
      <c r="DE92" s="22"/>
      <c r="DF92" s="22"/>
      <c r="DG92" s="22"/>
      <c r="DH92" s="22"/>
      <c r="XP92" s="25"/>
    </row>
    <row r="93" spans="1:640" ht="6" customHeight="1" x14ac:dyDescent="0.15">
      <c r="A93" s="26"/>
      <c r="BQ93" s="22"/>
      <c r="BR93" s="22"/>
      <c r="BS93" s="22"/>
      <c r="BT93" s="22"/>
      <c r="CC93" s="22"/>
      <c r="CD93" s="22"/>
      <c r="CE93" s="22"/>
      <c r="CF93" s="22"/>
      <c r="CK93" s="22"/>
      <c r="CL93" s="22"/>
      <c r="CM93" s="22"/>
      <c r="CN93" s="22"/>
      <c r="CS93" s="22"/>
      <c r="CT93" s="22"/>
      <c r="CU93" s="22"/>
      <c r="CV93" s="22"/>
      <c r="DE93" s="22"/>
      <c r="DF93" s="22"/>
      <c r="DG93" s="22"/>
      <c r="DH93" s="22"/>
      <c r="XP93" s="25"/>
    </row>
    <row r="94" spans="1:640" ht="6" customHeight="1" x14ac:dyDescent="0.15">
      <c r="A94" s="26"/>
      <c r="BQ94" s="22"/>
      <c r="BR94" s="22"/>
      <c r="BS94" s="22"/>
      <c r="BT94" s="22"/>
      <c r="BY94" s="22"/>
      <c r="BZ94" s="22"/>
      <c r="CA94" s="22"/>
      <c r="CB94" s="22"/>
      <c r="CK94" s="22"/>
      <c r="CL94" s="22"/>
      <c r="CM94" s="22"/>
      <c r="CN94" s="22"/>
      <c r="CW94" s="22"/>
      <c r="CX94" s="22"/>
      <c r="CY94" s="22"/>
      <c r="CZ94" s="22"/>
      <c r="DE94" s="22"/>
      <c r="DF94" s="22"/>
      <c r="DG94" s="22"/>
      <c r="DH94" s="22"/>
      <c r="XP94" s="25"/>
    </row>
    <row r="95" spans="1:640" ht="6" customHeight="1" x14ac:dyDescent="0.15">
      <c r="A95" s="26"/>
      <c r="BQ95" s="22"/>
      <c r="BR95" s="22"/>
      <c r="BS95" s="22"/>
      <c r="BT95" s="22"/>
      <c r="BY95" s="22"/>
      <c r="BZ95" s="22"/>
      <c r="CA95" s="22"/>
      <c r="CB95" s="22"/>
      <c r="CK95" s="22"/>
      <c r="CL95" s="22"/>
      <c r="CM95" s="22"/>
      <c r="CN95" s="22"/>
      <c r="CW95" s="22"/>
      <c r="CX95" s="22"/>
      <c r="CY95" s="22"/>
      <c r="CZ95" s="22"/>
      <c r="DE95" s="22"/>
      <c r="DF95" s="22"/>
      <c r="DG95" s="22"/>
      <c r="DH95" s="22"/>
      <c r="XP95" s="25"/>
    </row>
    <row r="96" spans="1:640" ht="6" customHeight="1" x14ac:dyDescent="0.15">
      <c r="A96" s="26"/>
      <c r="BQ96" s="22"/>
      <c r="BR96" s="22"/>
      <c r="BS96" s="22"/>
      <c r="BT96" s="22"/>
      <c r="BY96" s="22"/>
      <c r="BZ96" s="22"/>
      <c r="CA96" s="22"/>
      <c r="CB96" s="22"/>
      <c r="CK96" s="22"/>
      <c r="CL96" s="22"/>
      <c r="CM96" s="22"/>
      <c r="CN96" s="22"/>
      <c r="CW96" s="22"/>
      <c r="CX96" s="22"/>
      <c r="CY96" s="22"/>
      <c r="CZ96" s="22"/>
      <c r="DE96" s="22"/>
      <c r="DF96" s="22"/>
      <c r="DG96" s="22"/>
      <c r="DH96" s="22"/>
      <c r="XP96" s="25"/>
    </row>
    <row r="97" spans="1:640" ht="6" customHeight="1" x14ac:dyDescent="0.15">
      <c r="A97" s="26"/>
      <c r="BQ97" s="22"/>
      <c r="BR97" s="22"/>
      <c r="BS97" s="22"/>
      <c r="BT97" s="22"/>
      <c r="BY97" s="22"/>
      <c r="BZ97" s="22"/>
      <c r="CA97" s="22"/>
      <c r="CB97" s="22"/>
      <c r="CK97" s="22"/>
      <c r="CL97" s="22"/>
      <c r="CM97" s="22"/>
      <c r="CN97" s="22"/>
      <c r="CW97" s="22"/>
      <c r="CX97" s="22"/>
      <c r="CY97" s="22"/>
      <c r="CZ97" s="22"/>
      <c r="DE97" s="22"/>
      <c r="DF97" s="22"/>
      <c r="DG97" s="22"/>
      <c r="DH97" s="22"/>
      <c r="XP97" s="25"/>
    </row>
    <row r="98" spans="1:640" ht="6" customHeight="1" x14ac:dyDescent="0.15">
      <c r="A98" s="26"/>
      <c r="BQ98" s="22"/>
      <c r="BR98" s="22"/>
      <c r="BS98" s="22"/>
      <c r="BT98" s="22"/>
      <c r="BY98" s="22"/>
      <c r="BZ98" s="22"/>
      <c r="CA98" s="22"/>
      <c r="CB98" s="22"/>
      <c r="CK98" s="22"/>
      <c r="CL98" s="22"/>
      <c r="CM98" s="22"/>
      <c r="CN98" s="22"/>
      <c r="CW98" s="22"/>
      <c r="CX98" s="22"/>
      <c r="CY98" s="22"/>
      <c r="CZ98" s="22"/>
      <c r="DE98" s="22"/>
      <c r="DF98" s="22"/>
      <c r="DG98" s="22"/>
      <c r="DH98" s="22"/>
      <c r="XP98" s="25"/>
    </row>
    <row r="99" spans="1:640" ht="6" customHeight="1" x14ac:dyDescent="0.15">
      <c r="A99" s="26"/>
      <c r="BQ99" s="22"/>
      <c r="BR99" s="22"/>
      <c r="BS99" s="22"/>
      <c r="BT99" s="22"/>
      <c r="BY99" s="22"/>
      <c r="BZ99" s="22"/>
      <c r="CA99" s="22"/>
      <c r="CB99" s="22"/>
      <c r="CK99" s="22"/>
      <c r="CL99" s="22"/>
      <c r="CM99" s="22"/>
      <c r="CN99" s="22"/>
      <c r="CW99" s="22"/>
      <c r="CX99" s="22"/>
      <c r="CY99" s="22"/>
      <c r="CZ99" s="22"/>
      <c r="DE99" s="22"/>
      <c r="DF99" s="22"/>
      <c r="DG99" s="22"/>
      <c r="DH99" s="22"/>
      <c r="XP99" s="25"/>
    </row>
    <row r="100" spans="1:640" ht="6" customHeight="1" x14ac:dyDescent="0.15">
      <c r="A100" s="26"/>
      <c r="BQ100" s="22"/>
      <c r="BR100" s="22"/>
      <c r="BS100" s="22"/>
      <c r="BT100" s="22"/>
      <c r="BY100" s="22"/>
      <c r="BZ100" s="22"/>
      <c r="CA100" s="22"/>
      <c r="CB100" s="22"/>
      <c r="CK100" s="22"/>
      <c r="CL100" s="22"/>
      <c r="CM100" s="22"/>
      <c r="CN100" s="22"/>
      <c r="CW100" s="22"/>
      <c r="CX100" s="22"/>
      <c r="CY100" s="22"/>
      <c r="CZ100" s="22"/>
      <c r="DE100" s="22"/>
      <c r="DF100" s="22"/>
      <c r="DG100" s="22"/>
      <c r="DH100" s="22"/>
      <c r="XP100" s="25"/>
    </row>
    <row r="101" spans="1:640" ht="6" customHeight="1" x14ac:dyDescent="0.15">
      <c r="A101" s="26"/>
      <c r="BQ101" s="22"/>
      <c r="BR101" s="22"/>
      <c r="BS101" s="22"/>
      <c r="BT101" s="22"/>
      <c r="BY101" s="22"/>
      <c r="BZ101" s="22"/>
      <c r="CA101" s="22"/>
      <c r="CB101" s="22"/>
      <c r="CK101" s="22"/>
      <c r="CL101" s="22"/>
      <c r="CM101" s="22"/>
      <c r="CN101" s="22"/>
      <c r="CW101" s="22"/>
      <c r="CX101" s="22"/>
      <c r="CY101" s="22"/>
      <c r="CZ101" s="22"/>
      <c r="DE101" s="22"/>
      <c r="DF101" s="22"/>
      <c r="DG101" s="22"/>
      <c r="DH101" s="22"/>
      <c r="XP101" s="25"/>
    </row>
    <row r="102" spans="1:640" ht="6" customHeight="1" x14ac:dyDescent="0.15">
      <c r="A102" s="26"/>
      <c r="BQ102" s="22"/>
      <c r="BR102" s="22"/>
      <c r="BS102" s="22"/>
      <c r="BT102" s="22"/>
      <c r="BU102" s="22"/>
      <c r="BV102" s="22"/>
      <c r="BW102" s="22"/>
      <c r="BX102" s="22"/>
      <c r="CK102" s="22"/>
      <c r="CL102" s="22"/>
      <c r="CM102" s="22"/>
      <c r="CN102" s="22"/>
      <c r="DA102" s="22"/>
      <c r="DB102" s="22"/>
      <c r="DC102" s="22"/>
      <c r="DD102" s="22"/>
      <c r="DE102" s="22"/>
      <c r="DF102" s="22"/>
      <c r="DG102" s="22"/>
      <c r="DH102" s="22"/>
      <c r="XP102" s="25"/>
    </row>
    <row r="103" spans="1:640" ht="6" customHeight="1" x14ac:dyDescent="0.15">
      <c r="A103" s="26"/>
      <c r="BQ103" s="22"/>
      <c r="BR103" s="22"/>
      <c r="BS103" s="22"/>
      <c r="BT103" s="22"/>
      <c r="BU103" s="22"/>
      <c r="BV103" s="22"/>
      <c r="BW103" s="22"/>
      <c r="BX103" s="22"/>
      <c r="CK103" s="22"/>
      <c r="CL103" s="22"/>
      <c r="CM103" s="22"/>
      <c r="CN103" s="22"/>
      <c r="DA103" s="22"/>
      <c r="DB103" s="22"/>
      <c r="DC103" s="22"/>
      <c r="DD103" s="22"/>
      <c r="DE103" s="22"/>
      <c r="DF103" s="22"/>
      <c r="DG103" s="22"/>
      <c r="DH103" s="22"/>
      <c r="XP103" s="25"/>
    </row>
    <row r="104" spans="1:640" ht="6" customHeight="1" x14ac:dyDescent="0.15">
      <c r="A104" s="26"/>
      <c r="BQ104" s="22"/>
      <c r="BR104" s="22"/>
      <c r="BS104" s="22"/>
      <c r="BT104" s="22"/>
      <c r="BU104" s="22"/>
      <c r="BV104" s="22"/>
      <c r="BW104" s="22"/>
      <c r="BX104" s="22"/>
      <c r="CK104" s="22"/>
      <c r="CL104" s="22"/>
      <c r="CM104" s="22"/>
      <c r="CN104" s="22"/>
      <c r="DA104" s="22"/>
      <c r="DB104" s="22"/>
      <c r="DC104" s="22"/>
      <c r="DD104" s="22"/>
      <c r="DE104" s="22"/>
      <c r="DF104" s="22"/>
      <c r="DG104" s="22"/>
      <c r="DH104" s="22"/>
      <c r="XP104" s="25"/>
    </row>
    <row r="105" spans="1:640" ht="6" customHeight="1" x14ac:dyDescent="0.15">
      <c r="A105" s="26"/>
      <c r="BQ105" s="22"/>
      <c r="BR105" s="22"/>
      <c r="BS105" s="22"/>
      <c r="BT105" s="22"/>
      <c r="BU105" s="22"/>
      <c r="BV105" s="22"/>
      <c r="BW105" s="22"/>
      <c r="BX105" s="22"/>
      <c r="CK105" s="22"/>
      <c r="CL105" s="22"/>
      <c r="CM105" s="22"/>
      <c r="CN105" s="22"/>
      <c r="DA105" s="22"/>
      <c r="DB105" s="22"/>
      <c r="DC105" s="22"/>
      <c r="DD105" s="22"/>
      <c r="DE105" s="22"/>
      <c r="DF105" s="22"/>
      <c r="DG105" s="22"/>
      <c r="DH105" s="22"/>
      <c r="XP105" s="25"/>
    </row>
    <row r="106" spans="1:640" ht="6" customHeight="1" x14ac:dyDescent="0.15">
      <c r="A106" s="26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XP106" s="25"/>
    </row>
    <row r="107" spans="1:640" ht="6" customHeight="1" x14ac:dyDescent="0.15">
      <c r="A107" s="26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XP107" s="25"/>
    </row>
    <row r="108" spans="1:640" ht="6" customHeight="1" x14ac:dyDescent="0.15">
      <c r="A108" s="26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XP108" s="25"/>
    </row>
    <row r="109" spans="1:640" ht="6" customHeight="1" x14ac:dyDescent="0.15">
      <c r="A109" s="26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XP109" s="25"/>
    </row>
    <row r="110" spans="1:640" ht="6" customHeight="1" x14ac:dyDescent="0.15">
      <c r="A110" s="26"/>
      <c r="XP110" s="25"/>
    </row>
    <row r="111" spans="1:640" ht="6" customHeight="1" x14ac:dyDescent="0.15">
      <c r="A111" s="26"/>
      <c r="XP111" s="25"/>
    </row>
    <row r="112" spans="1:640" ht="6" customHeight="1" x14ac:dyDescent="0.15">
      <c r="A112" s="26"/>
      <c r="XP112" s="25"/>
    </row>
    <row r="113" spans="1:640" ht="6" customHeight="1" x14ac:dyDescent="0.15">
      <c r="A113" s="26"/>
      <c r="XP113" s="25"/>
    </row>
    <row r="114" spans="1:640" ht="6" customHeight="1" x14ac:dyDescent="0.15">
      <c r="A114" s="26"/>
      <c r="XP114" s="25"/>
    </row>
    <row r="115" spans="1:640" ht="6" customHeight="1" x14ac:dyDescent="0.15">
      <c r="A115" s="26"/>
      <c r="XP115" s="25"/>
    </row>
    <row r="116" spans="1:640" ht="6" customHeight="1" x14ac:dyDescent="0.15">
      <c r="A116" s="26"/>
      <c r="XP116" s="25"/>
    </row>
    <row r="117" spans="1:640" ht="6" customHeight="1" x14ac:dyDescent="0.15">
      <c r="A117" s="26"/>
      <c r="XP117" s="25"/>
    </row>
    <row r="118" spans="1:640" ht="6" customHeight="1" x14ac:dyDescent="0.15">
      <c r="A118" s="26"/>
      <c r="XP118" s="25"/>
    </row>
    <row r="119" spans="1:640" ht="6" customHeight="1" x14ac:dyDescent="0.15">
      <c r="A119" s="26"/>
      <c r="XP119" s="25"/>
    </row>
    <row r="120" spans="1:640" ht="6" customHeight="1" x14ac:dyDescent="0.15">
      <c r="A120" s="26"/>
      <c r="XP120" s="25"/>
    </row>
    <row r="121" spans="1:640" ht="6" customHeight="1" x14ac:dyDescent="0.15">
      <c r="A121" s="26"/>
      <c r="XP121" s="25"/>
    </row>
    <row r="122" spans="1:640" ht="6" customHeight="1" x14ac:dyDescent="0.15">
      <c r="A122" s="26"/>
      <c r="XP122" s="25"/>
    </row>
    <row r="123" spans="1:640" ht="6" customHeight="1" x14ac:dyDescent="0.15">
      <c r="A123" s="26"/>
      <c r="XP123" s="25"/>
    </row>
    <row r="124" spans="1:640" ht="6" customHeight="1" x14ac:dyDescent="0.15">
      <c r="A124" s="26"/>
      <c r="XP124" s="25"/>
    </row>
    <row r="125" spans="1:640" ht="6" customHeight="1" x14ac:dyDescent="0.15">
      <c r="A125" s="26"/>
      <c r="XP125" s="25"/>
    </row>
    <row r="126" spans="1:640" ht="6" customHeight="1" x14ac:dyDescent="0.15">
      <c r="A126" s="26"/>
      <c r="XP126" s="25"/>
    </row>
    <row r="127" spans="1:640" ht="6" customHeight="1" x14ac:dyDescent="0.15">
      <c r="A127" s="26"/>
      <c r="XP127" s="25"/>
    </row>
    <row r="128" spans="1:640" ht="6" customHeight="1" x14ac:dyDescent="0.15">
      <c r="A128" s="26"/>
      <c r="XP128" s="25"/>
    </row>
    <row r="129" spans="1:640" ht="6" customHeight="1" x14ac:dyDescent="0.15">
      <c r="A129" s="26"/>
      <c r="XP129" s="25"/>
    </row>
    <row r="130" spans="1:640" ht="6" customHeight="1" x14ac:dyDescent="0.15">
      <c r="A130" s="26"/>
      <c r="XP130" s="25"/>
    </row>
    <row r="131" spans="1:640" ht="6" customHeight="1" x14ac:dyDescent="0.15">
      <c r="A131" s="26"/>
      <c r="XP131" s="25"/>
    </row>
    <row r="132" spans="1:640" ht="6" customHeight="1" x14ac:dyDescent="0.15">
      <c r="A132" s="26"/>
      <c r="CA132" s="12">
        <v>2</v>
      </c>
      <c r="CB132" s="12">
        <v>2</v>
      </c>
      <c r="CC132" s="12">
        <v>2</v>
      </c>
      <c r="CD132" s="12">
        <v>2</v>
      </c>
      <c r="CE132" s="12">
        <v>2</v>
      </c>
      <c r="CF132" s="12">
        <v>2</v>
      </c>
      <c r="CG132" s="12">
        <v>2</v>
      </c>
      <c r="CH132" s="12">
        <v>2</v>
      </c>
      <c r="CI132" s="12">
        <v>2</v>
      </c>
      <c r="CJ132" s="12">
        <v>2</v>
      </c>
      <c r="CK132" s="12">
        <v>2</v>
      </c>
      <c r="CL132" s="12">
        <v>2</v>
      </c>
      <c r="CM132" s="12">
        <v>2</v>
      </c>
      <c r="CU132" s="12">
        <v>2</v>
      </c>
      <c r="CV132" s="12">
        <v>2</v>
      </c>
      <c r="CW132" s="12">
        <v>2</v>
      </c>
      <c r="CX132" s="12">
        <v>2</v>
      </c>
      <c r="CY132" s="12">
        <v>2</v>
      </c>
      <c r="CZ132" s="12">
        <v>2</v>
      </c>
      <c r="DA132" s="12">
        <v>2</v>
      </c>
      <c r="DB132" s="12">
        <v>2</v>
      </c>
      <c r="DC132" s="12">
        <v>2</v>
      </c>
      <c r="DD132" s="12">
        <v>2</v>
      </c>
      <c r="DE132" s="12">
        <v>2</v>
      </c>
      <c r="DF132" s="12">
        <v>2</v>
      </c>
      <c r="DJ132" s="12" t="s">
        <v>0</v>
      </c>
      <c r="XP132" s="25"/>
    </row>
    <row r="133" spans="1:640" ht="6" customHeight="1" x14ac:dyDescent="0.15">
      <c r="A133" s="26"/>
      <c r="CA133" s="12">
        <v>2</v>
      </c>
      <c r="CB133" s="12">
        <v>2</v>
      </c>
      <c r="CC133" s="12">
        <v>2</v>
      </c>
      <c r="CD133" s="12">
        <v>2</v>
      </c>
      <c r="CE133" s="12">
        <v>2</v>
      </c>
      <c r="CF133" s="12">
        <v>2</v>
      </c>
      <c r="CG133" s="12">
        <v>2</v>
      </c>
      <c r="CH133" s="12">
        <v>2</v>
      </c>
      <c r="CI133" s="12">
        <v>2</v>
      </c>
      <c r="CJ133" s="12">
        <v>2</v>
      </c>
      <c r="CK133" s="12">
        <v>2</v>
      </c>
      <c r="CL133" s="12">
        <v>2</v>
      </c>
      <c r="CM133" s="12">
        <v>2</v>
      </c>
      <c r="CU133" s="12">
        <v>2</v>
      </c>
      <c r="CV133" s="12">
        <v>1</v>
      </c>
      <c r="CW133" s="12">
        <v>1</v>
      </c>
      <c r="CX133" s="12">
        <v>1</v>
      </c>
      <c r="CY133" s="12">
        <v>1</v>
      </c>
      <c r="CZ133" s="12">
        <v>1</v>
      </c>
      <c r="DA133" s="12">
        <v>1</v>
      </c>
      <c r="DB133" s="12">
        <v>1</v>
      </c>
      <c r="DC133" s="12">
        <v>1</v>
      </c>
      <c r="DD133" s="12">
        <v>2</v>
      </c>
      <c r="DE133" s="12">
        <v>2</v>
      </c>
      <c r="DF133" s="12">
        <v>2</v>
      </c>
      <c r="DJ133" s="12" t="s">
        <v>1</v>
      </c>
      <c r="XP133" s="25"/>
    </row>
    <row r="134" spans="1:640" ht="6" customHeight="1" x14ac:dyDescent="0.15">
      <c r="A134" s="26"/>
      <c r="CA134" s="12">
        <v>2</v>
      </c>
      <c r="CB134" s="12">
        <v>2</v>
      </c>
      <c r="CC134" s="12">
        <v>2</v>
      </c>
      <c r="CD134" s="12">
        <v>2</v>
      </c>
      <c r="CE134" s="12">
        <v>2</v>
      </c>
      <c r="CF134" s="12">
        <v>2</v>
      </c>
      <c r="CG134" s="12">
        <v>2</v>
      </c>
      <c r="CH134" s="12">
        <v>2</v>
      </c>
      <c r="CI134" s="12">
        <v>2</v>
      </c>
      <c r="CJ134" s="12">
        <v>2</v>
      </c>
      <c r="CK134" s="12">
        <v>2</v>
      </c>
      <c r="CL134" s="12">
        <v>2</v>
      </c>
      <c r="CM134" s="12">
        <v>2</v>
      </c>
      <c r="CU134" s="12">
        <v>2</v>
      </c>
      <c r="CV134" s="12">
        <v>1</v>
      </c>
      <c r="CW134" s="12">
        <v>1</v>
      </c>
      <c r="CX134" s="12">
        <v>1</v>
      </c>
      <c r="CY134" s="12">
        <v>1</v>
      </c>
      <c r="CZ134" s="12">
        <v>1</v>
      </c>
      <c r="DA134" s="12">
        <v>1</v>
      </c>
      <c r="DB134" s="12">
        <v>1</v>
      </c>
      <c r="DC134" s="12">
        <v>1</v>
      </c>
      <c r="DD134" s="12">
        <v>2</v>
      </c>
      <c r="DE134" s="12">
        <v>2</v>
      </c>
      <c r="DF134" s="12">
        <v>2</v>
      </c>
      <c r="XP134" s="25"/>
    </row>
    <row r="135" spans="1:640" ht="6" customHeight="1" x14ac:dyDescent="0.15">
      <c r="A135" s="26"/>
      <c r="CA135" s="12">
        <v>2</v>
      </c>
      <c r="CB135" s="12">
        <v>2</v>
      </c>
      <c r="CC135" s="12">
        <v>2</v>
      </c>
      <c r="CD135" s="12">
        <v>2</v>
      </c>
      <c r="CE135" s="12">
        <v>2</v>
      </c>
      <c r="CF135" s="12">
        <v>2</v>
      </c>
      <c r="CG135" s="12">
        <v>2</v>
      </c>
      <c r="CH135" s="12">
        <v>2</v>
      </c>
      <c r="CI135" s="12">
        <v>2</v>
      </c>
      <c r="CJ135" s="12">
        <v>2</v>
      </c>
      <c r="CK135" s="12">
        <v>2</v>
      </c>
      <c r="CL135" s="12">
        <v>2</v>
      </c>
      <c r="CM135" s="12">
        <v>2</v>
      </c>
      <c r="CU135" s="12">
        <v>2</v>
      </c>
      <c r="CV135" s="12">
        <v>1</v>
      </c>
      <c r="CW135" s="12">
        <v>1</v>
      </c>
      <c r="CX135" s="12">
        <v>2</v>
      </c>
      <c r="CY135" s="12">
        <v>2</v>
      </c>
      <c r="CZ135" s="12">
        <v>2</v>
      </c>
      <c r="DA135" s="12">
        <v>2</v>
      </c>
      <c r="DB135" s="12">
        <v>2</v>
      </c>
      <c r="DC135" s="12">
        <v>2</v>
      </c>
      <c r="DD135" s="12">
        <v>1</v>
      </c>
      <c r="DE135" s="12">
        <v>1</v>
      </c>
      <c r="DF135" s="12">
        <v>2</v>
      </c>
      <c r="XP135" s="25"/>
    </row>
    <row r="136" spans="1:640" ht="6" customHeight="1" x14ac:dyDescent="0.15">
      <c r="A136" s="26"/>
      <c r="CA136" s="12">
        <v>2</v>
      </c>
      <c r="CB136" s="12">
        <v>2</v>
      </c>
      <c r="CC136" s="12">
        <v>2</v>
      </c>
      <c r="CD136" s="12">
        <v>2</v>
      </c>
      <c r="CE136" s="12">
        <v>2</v>
      </c>
      <c r="CF136" s="12">
        <v>2</v>
      </c>
      <c r="CG136" s="12">
        <v>2</v>
      </c>
      <c r="CH136" s="12">
        <v>2</v>
      </c>
      <c r="CI136" s="12">
        <v>2</v>
      </c>
      <c r="CJ136" s="12">
        <v>2</v>
      </c>
      <c r="CK136" s="12">
        <v>2</v>
      </c>
      <c r="CL136" s="12">
        <v>2</v>
      </c>
      <c r="CM136" s="12">
        <v>2</v>
      </c>
      <c r="CU136" s="12">
        <v>2</v>
      </c>
      <c r="CV136" s="12">
        <v>1</v>
      </c>
      <c r="CW136" s="12">
        <v>1</v>
      </c>
      <c r="CX136" s="12">
        <v>2</v>
      </c>
      <c r="CY136" s="12">
        <v>2</v>
      </c>
      <c r="CZ136" s="12">
        <v>2</v>
      </c>
      <c r="DA136" s="12">
        <v>2</v>
      </c>
      <c r="DB136" s="12">
        <v>2</v>
      </c>
      <c r="DC136" s="12">
        <v>2</v>
      </c>
      <c r="DD136" s="12">
        <v>1</v>
      </c>
      <c r="DE136" s="12">
        <v>1</v>
      </c>
      <c r="DF136" s="12">
        <v>2</v>
      </c>
      <c r="XP136" s="25"/>
    </row>
    <row r="137" spans="1:640" ht="6" customHeight="1" x14ac:dyDescent="0.15">
      <c r="A137" s="26"/>
      <c r="CA137" s="12">
        <v>2</v>
      </c>
      <c r="CB137" s="12">
        <v>2</v>
      </c>
      <c r="CC137" s="12">
        <v>2</v>
      </c>
      <c r="CD137" s="12">
        <v>2</v>
      </c>
      <c r="CE137" s="12">
        <v>2</v>
      </c>
      <c r="CF137" s="12">
        <v>2</v>
      </c>
      <c r="CG137" s="12">
        <v>2</v>
      </c>
      <c r="CH137" s="12">
        <v>2</v>
      </c>
      <c r="CI137" s="12">
        <v>2</v>
      </c>
      <c r="CJ137" s="12">
        <v>2</v>
      </c>
      <c r="CK137" s="12">
        <v>2</v>
      </c>
      <c r="CL137" s="12">
        <v>2</v>
      </c>
      <c r="CM137" s="12">
        <v>2</v>
      </c>
      <c r="CU137" s="12">
        <v>2</v>
      </c>
      <c r="CV137" s="12">
        <v>1</v>
      </c>
      <c r="CW137" s="12">
        <v>1</v>
      </c>
      <c r="CX137" s="12">
        <v>1</v>
      </c>
      <c r="CY137" s="12">
        <v>1</v>
      </c>
      <c r="CZ137" s="12">
        <v>1</v>
      </c>
      <c r="DA137" s="12">
        <v>1</v>
      </c>
      <c r="DB137" s="12">
        <v>1</v>
      </c>
      <c r="DC137" s="12">
        <v>1</v>
      </c>
      <c r="DD137" s="12">
        <v>2</v>
      </c>
      <c r="DE137" s="12">
        <v>2</v>
      </c>
      <c r="DF137" s="12">
        <v>2</v>
      </c>
      <c r="XP137" s="25"/>
    </row>
    <row r="138" spans="1:640" ht="6" customHeight="1" x14ac:dyDescent="0.15">
      <c r="A138" s="26"/>
      <c r="CA138" s="12">
        <v>2</v>
      </c>
      <c r="CB138" s="12">
        <v>2</v>
      </c>
      <c r="CC138" s="12">
        <v>2</v>
      </c>
      <c r="CD138" s="12">
        <v>2</v>
      </c>
      <c r="CE138" s="12">
        <v>2</v>
      </c>
      <c r="CF138" s="12">
        <v>2</v>
      </c>
      <c r="CG138" s="12">
        <v>2</v>
      </c>
      <c r="CH138" s="12">
        <v>2</v>
      </c>
      <c r="CI138" s="12">
        <v>2</v>
      </c>
      <c r="CJ138" s="12">
        <v>2</v>
      </c>
      <c r="CK138" s="12">
        <v>2</v>
      </c>
      <c r="CL138" s="12">
        <v>2</v>
      </c>
      <c r="CM138" s="12">
        <v>2</v>
      </c>
      <c r="CU138" s="12">
        <v>2</v>
      </c>
      <c r="CV138" s="12">
        <v>1</v>
      </c>
      <c r="CW138" s="12">
        <v>1</v>
      </c>
      <c r="CX138" s="12">
        <v>1</v>
      </c>
      <c r="CY138" s="12">
        <v>1</v>
      </c>
      <c r="CZ138" s="12">
        <v>1</v>
      </c>
      <c r="DA138" s="12">
        <v>1</v>
      </c>
      <c r="DB138" s="12">
        <v>1</v>
      </c>
      <c r="DC138" s="12">
        <v>1</v>
      </c>
      <c r="DD138" s="12">
        <v>2</v>
      </c>
      <c r="DE138" s="12">
        <v>2</v>
      </c>
      <c r="DF138" s="12">
        <v>2</v>
      </c>
      <c r="XP138" s="25"/>
    </row>
    <row r="139" spans="1:640" ht="6" customHeight="1" x14ac:dyDescent="0.15">
      <c r="A139" s="26"/>
      <c r="CA139" s="12">
        <v>2</v>
      </c>
      <c r="CB139" s="12">
        <v>2</v>
      </c>
      <c r="CC139" s="12">
        <v>2</v>
      </c>
      <c r="CD139" s="12">
        <v>2</v>
      </c>
      <c r="CE139" s="12">
        <v>2</v>
      </c>
      <c r="CF139" s="12">
        <v>2</v>
      </c>
      <c r="CG139" s="12">
        <v>2</v>
      </c>
      <c r="CH139" s="12">
        <v>2</v>
      </c>
      <c r="CI139" s="12">
        <v>2</v>
      </c>
      <c r="CJ139" s="12">
        <v>2</v>
      </c>
      <c r="CK139" s="12">
        <v>2</v>
      </c>
      <c r="CL139" s="12">
        <v>2</v>
      </c>
      <c r="CM139" s="12">
        <v>2</v>
      </c>
      <c r="CU139" s="12">
        <v>2</v>
      </c>
      <c r="CV139" s="12">
        <v>1</v>
      </c>
      <c r="CW139" s="12">
        <v>1</v>
      </c>
      <c r="CX139" s="12">
        <v>2</v>
      </c>
      <c r="CY139" s="12">
        <v>2</v>
      </c>
      <c r="CZ139" s="12">
        <v>2</v>
      </c>
      <c r="DA139" s="12">
        <v>2</v>
      </c>
      <c r="DB139" s="12">
        <v>1</v>
      </c>
      <c r="DC139" s="12">
        <v>1</v>
      </c>
      <c r="DD139" s="12">
        <v>2</v>
      </c>
      <c r="DE139" s="12">
        <v>2</v>
      </c>
      <c r="DF139" s="12">
        <v>2</v>
      </c>
      <c r="XP139" s="25"/>
    </row>
    <row r="140" spans="1:640" ht="6" customHeight="1" x14ac:dyDescent="0.15">
      <c r="A140" s="26"/>
      <c r="CA140" s="12">
        <v>2</v>
      </c>
      <c r="CB140" s="12">
        <v>2</v>
      </c>
      <c r="CC140" s="12">
        <v>2</v>
      </c>
      <c r="CD140" s="12">
        <v>2</v>
      </c>
      <c r="CE140" s="12">
        <v>2</v>
      </c>
      <c r="CF140" s="12">
        <v>2</v>
      </c>
      <c r="CG140" s="12">
        <v>2</v>
      </c>
      <c r="CH140" s="12">
        <v>2</v>
      </c>
      <c r="CI140" s="12">
        <v>2</v>
      </c>
      <c r="CJ140" s="12">
        <v>2</v>
      </c>
      <c r="CK140" s="12">
        <v>2</v>
      </c>
      <c r="CL140" s="12">
        <v>2</v>
      </c>
      <c r="CM140" s="12">
        <v>2</v>
      </c>
      <c r="CU140" s="12">
        <v>2</v>
      </c>
      <c r="CV140" s="12">
        <v>1</v>
      </c>
      <c r="CW140" s="12">
        <v>1</v>
      </c>
      <c r="CX140" s="12">
        <v>2</v>
      </c>
      <c r="CY140" s="12">
        <v>2</v>
      </c>
      <c r="CZ140" s="12">
        <v>2</v>
      </c>
      <c r="DA140" s="12">
        <v>2</v>
      </c>
      <c r="DB140" s="12">
        <v>1</v>
      </c>
      <c r="DC140" s="12">
        <v>1</v>
      </c>
      <c r="DD140" s="12">
        <v>2</v>
      </c>
      <c r="DE140" s="12">
        <v>2</v>
      </c>
      <c r="DF140" s="12">
        <v>2</v>
      </c>
      <c r="XP140" s="25"/>
    </row>
    <row r="141" spans="1:640" ht="6" customHeight="1" x14ac:dyDescent="0.15">
      <c r="A141" s="26"/>
      <c r="CA141" s="12">
        <v>2</v>
      </c>
      <c r="CB141" s="12">
        <v>2</v>
      </c>
      <c r="CC141" s="12">
        <v>2</v>
      </c>
      <c r="CD141" s="12">
        <v>2</v>
      </c>
      <c r="CE141" s="12">
        <v>2</v>
      </c>
      <c r="CF141" s="12">
        <v>2</v>
      </c>
      <c r="CG141" s="12">
        <v>2</v>
      </c>
      <c r="CH141" s="12">
        <v>2</v>
      </c>
      <c r="CI141" s="12">
        <v>2</v>
      </c>
      <c r="CJ141" s="12">
        <v>2</v>
      </c>
      <c r="CK141" s="12">
        <v>2</v>
      </c>
      <c r="CL141" s="12">
        <v>2</v>
      </c>
      <c r="CM141" s="12">
        <v>2</v>
      </c>
      <c r="CU141" s="12">
        <v>2</v>
      </c>
      <c r="CV141" s="12">
        <v>1</v>
      </c>
      <c r="CW141" s="12">
        <v>1</v>
      </c>
      <c r="CX141" s="12">
        <v>2</v>
      </c>
      <c r="CY141" s="12">
        <v>2</v>
      </c>
      <c r="CZ141" s="12">
        <v>2</v>
      </c>
      <c r="DA141" s="12">
        <v>2</v>
      </c>
      <c r="DB141" s="12">
        <v>2</v>
      </c>
      <c r="DC141" s="12">
        <v>2</v>
      </c>
      <c r="DD141" s="12">
        <v>1</v>
      </c>
      <c r="DE141" s="12">
        <v>1</v>
      </c>
      <c r="DF141" s="12">
        <v>2</v>
      </c>
      <c r="XP141" s="25"/>
    </row>
    <row r="142" spans="1:640" ht="6" customHeight="1" x14ac:dyDescent="0.15">
      <c r="A142" s="26"/>
      <c r="CA142" s="12">
        <v>2</v>
      </c>
      <c r="CB142" s="12">
        <v>2</v>
      </c>
      <c r="CC142" s="12">
        <v>2</v>
      </c>
      <c r="CD142" s="12">
        <v>2</v>
      </c>
      <c r="CE142" s="12">
        <v>2</v>
      </c>
      <c r="CF142" s="12">
        <v>2</v>
      </c>
      <c r="CG142" s="12">
        <v>2</v>
      </c>
      <c r="CH142" s="12">
        <v>2</v>
      </c>
      <c r="CI142" s="12">
        <v>2</v>
      </c>
      <c r="CJ142" s="12">
        <v>2</v>
      </c>
      <c r="CK142" s="12">
        <v>2</v>
      </c>
      <c r="CL142" s="12">
        <v>2</v>
      </c>
      <c r="CM142" s="12">
        <v>2</v>
      </c>
      <c r="CU142" s="12">
        <v>2</v>
      </c>
      <c r="CV142" s="12">
        <v>1</v>
      </c>
      <c r="CW142" s="12">
        <v>1</v>
      </c>
      <c r="CX142" s="12">
        <v>2</v>
      </c>
      <c r="CY142" s="12">
        <v>2</v>
      </c>
      <c r="CZ142" s="12">
        <v>2</v>
      </c>
      <c r="DA142" s="12">
        <v>2</v>
      </c>
      <c r="DB142" s="12">
        <v>2</v>
      </c>
      <c r="DC142" s="12">
        <v>2</v>
      </c>
      <c r="DD142" s="12">
        <v>1</v>
      </c>
      <c r="DE142" s="12">
        <v>1</v>
      </c>
      <c r="DF142" s="12">
        <v>2</v>
      </c>
      <c r="XP142" s="25"/>
    </row>
    <row r="143" spans="1:640" ht="6" customHeight="1" x14ac:dyDescent="0.15">
      <c r="A143" s="26"/>
      <c r="CA143" s="12">
        <v>2</v>
      </c>
      <c r="CB143" s="12">
        <v>2</v>
      </c>
      <c r="CC143" s="12">
        <v>2</v>
      </c>
      <c r="CD143" s="12">
        <v>2</v>
      </c>
      <c r="CE143" s="12">
        <v>2</v>
      </c>
      <c r="CF143" s="12">
        <v>2</v>
      </c>
      <c r="CG143" s="12">
        <v>2</v>
      </c>
      <c r="CH143" s="12">
        <v>2</v>
      </c>
      <c r="CI143" s="12">
        <v>2</v>
      </c>
      <c r="CJ143" s="12">
        <v>2</v>
      </c>
      <c r="CK143" s="12">
        <v>2</v>
      </c>
      <c r="CL143" s="12">
        <v>2</v>
      </c>
      <c r="CM143" s="12">
        <v>2</v>
      </c>
      <c r="CU143" s="12">
        <v>2</v>
      </c>
      <c r="CV143" s="12">
        <v>2</v>
      </c>
      <c r="CW143" s="12">
        <v>2</v>
      </c>
      <c r="CX143" s="12">
        <v>2</v>
      </c>
      <c r="CY143" s="12">
        <v>2</v>
      </c>
      <c r="CZ143" s="12">
        <v>2</v>
      </c>
      <c r="DA143" s="12">
        <v>2</v>
      </c>
      <c r="DB143" s="12">
        <v>2</v>
      </c>
      <c r="DC143" s="12">
        <v>2</v>
      </c>
      <c r="DD143" s="12">
        <v>2</v>
      </c>
      <c r="DE143" s="12">
        <v>2</v>
      </c>
      <c r="DF143" s="12">
        <v>2</v>
      </c>
      <c r="XP143" s="25"/>
    </row>
    <row r="144" spans="1:640" ht="6" customHeight="1" x14ac:dyDescent="0.15">
      <c r="A144" s="26"/>
      <c r="CA144" s="12">
        <v>2</v>
      </c>
      <c r="CB144" s="12">
        <v>2</v>
      </c>
      <c r="CC144" s="12">
        <v>2</v>
      </c>
      <c r="CD144" s="12">
        <v>2</v>
      </c>
      <c r="CE144" s="12">
        <v>2</v>
      </c>
      <c r="CF144" s="12">
        <v>2</v>
      </c>
      <c r="CG144" s="12">
        <v>2</v>
      </c>
      <c r="CH144" s="12">
        <v>2</v>
      </c>
      <c r="CI144" s="12">
        <v>2</v>
      </c>
      <c r="CJ144" s="12">
        <v>2</v>
      </c>
      <c r="CK144" s="12">
        <v>2</v>
      </c>
      <c r="CL144" s="12">
        <v>2</v>
      </c>
      <c r="CM144" s="12">
        <v>2</v>
      </c>
      <c r="XP144" s="25"/>
    </row>
    <row r="145" spans="1:640" ht="6" customHeight="1" x14ac:dyDescent="0.15">
      <c r="A145" s="26"/>
      <c r="XP145" s="25"/>
    </row>
    <row r="146" spans="1:640" ht="6" customHeight="1" x14ac:dyDescent="0.15">
      <c r="A146" s="26"/>
      <c r="XP146" s="25"/>
    </row>
    <row r="147" spans="1:640" ht="6" customHeight="1" x14ac:dyDescent="0.15">
      <c r="A147" s="26"/>
      <c r="XP147" s="25"/>
    </row>
    <row r="148" spans="1:640" ht="6" customHeight="1" x14ac:dyDescent="0.15">
      <c r="A148" s="26"/>
      <c r="XP148" s="25"/>
    </row>
    <row r="149" spans="1:640" ht="6" customHeight="1" x14ac:dyDescent="0.15">
      <c r="A149" s="26"/>
      <c r="XP149" s="25"/>
    </row>
    <row r="150" spans="1:640" ht="6" customHeight="1" x14ac:dyDescent="0.15">
      <c r="A150" s="26"/>
      <c r="XP150" s="25"/>
    </row>
    <row r="151" spans="1:640" ht="6" customHeight="1" x14ac:dyDescent="0.15">
      <c r="A151" s="26"/>
      <c r="XP151" s="25"/>
    </row>
    <row r="152" spans="1:640" ht="6" customHeight="1" x14ac:dyDescent="0.15">
      <c r="A152" s="26"/>
      <c r="XP152" s="25"/>
    </row>
    <row r="153" spans="1:640" ht="6" customHeight="1" x14ac:dyDescent="0.15">
      <c r="A153" s="26"/>
      <c r="XP153" s="25"/>
    </row>
    <row r="154" spans="1:640" ht="6" customHeight="1" x14ac:dyDescent="0.15">
      <c r="A154" s="26"/>
      <c r="XP154" s="25"/>
    </row>
    <row r="155" spans="1:640" ht="6" customHeight="1" x14ac:dyDescent="0.15">
      <c r="A155" s="26"/>
      <c r="XP155" s="25"/>
    </row>
    <row r="156" spans="1:640" ht="6" customHeight="1" x14ac:dyDescent="0.15">
      <c r="A156" s="26"/>
      <c r="XP156" s="25"/>
    </row>
    <row r="157" spans="1:640" ht="6" customHeight="1" x14ac:dyDescent="0.15">
      <c r="A157" s="26"/>
      <c r="XP157" s="25"/>
    </row>
    <row r="158" spans="1:640" ht="6" customHeight="1" x14ac:dyDescent="0.15">
      <c r="A158" s="26"/>
      <c r="XP158" s="25"/>
    </row>
    <row r="159" spans="1:640" ht="6" customHeight="1" x14ac:dyDescent="0.15">
      <c r="A159" s="26"/>
      <c r="XP159" s="25"/>
    </row>
    <row r="160" spans="1:640" ht="6" customHeight="1" x14ac:dyDescent="0.15">
      <c r="A160" s="26"/>
      <c r="XP160" s="25"/>
    </row>
    <row r="161" spans="1:640" ht="6" customHeight="1" x14ac:dyDescent="0.15">
      <c r="A161" s="26"/>
      <c r="XP161" s="25"/>
    </row>
    <row r="162" spans="1:640" ht="6" customHeight="1" x14ac:dyDescent="0.15">
      <c r="A162" s="26"/>
      <c r="XP162" s="25"/>
    </row>
    <row r="163" spans="1:640" ht="6" customHeight="1" x14ac:dyDescent="0.15">
      <c r="A163" s="26"/>
      <c r="XP163" s="25"/>
    </row>
    <row r="164" spans="1:640" ht="6" customHeight="1" x14ac:dyDescent="0.15">
      <c r="A164" s="26"/>
      <c r="XP164" s="25"/>
    </row>
    <row r="165" spans="1:640" ht="6" customHeight="1" x14ac:dyDescent="0.15">
      <c r="A165" s="26"/>
      <c r="XP165" s="25"/>
    </row>
    <row r="166" spans="1:640" ht="6" customHeight="1" x14ac:dyDescent="0.15">
      <c r="A166" s="26"/>
      <c r="XP166" s="25"/>
    </row>
    <row r="167" spans="1:640" ht="6" customHeight="1" x14ac:dyDescent="0.15">
      <c r="A167" s="26"/>
      <c r="XP167" s="25"/>
    </row>
    <row r="168" spans="1:640" ht="6" customHeight="1" x14ac:dyDescent="0.15">
      <c r="A168" s="26"/>
      <c r="XP168" s="25"/>
    </row>
    <row r="169" spans="1:640" ht="6" customHeight="1" x14ac:dyDescent="0.15">
      <c r="A169" s="26"/>
      <c r="XP169" s="25"/>
    </row>
    <row r="170" spans="1:640" ht="6" customHeight="1" x14ac:dyDescent="0.15">
      <c r="A170" s="26"/>
      <c r="XP170" s="25"/>
    </row>
    <row r="171" spans="1:640" ht="6" customHeight="1" x14ac:dyDescent="0.15">
      <c r="A171" s="26"/>
      <c r="XP171" s="25"/>
    </row>
    <row r="172" spans="1:640" ht="6" customHeight="1" x14ac:dyDescent="0.15">
      <c r="A172" s="26"/>
      <c r="XP172" s="25"/>
    </row>
    <row r="173" spans="1:640" ht="6" customHeight="1" x14ac:dyDescent="0.15">
      <c r="A173" s="26"/>
      <c r="XP173" s="25"/>
    </row>
    <row r="174" spans="1:640" ht="6" customHeight="1" x14ac:dyDescent="0.15">
      <c r="A174" s="26"/>
      <c r="XP174" s="25"/>
    </row>
    <row r="175" spans="1:640" ht="6" customHeight="1" x14ac:dyDescent="0.15">
      <c r="A175" s="26"/>
      <c r="XP175" s="25"/>
    </row>
    <row r="176" spans="1:640" ht="6" customHeight="1" x14ac:dyDescent="0.15">
      <c r="A176" s="26"/>
      <c r="XP176" s="25"/>
    </row>
    <row r="177" spans="1:640" ht="6" customHeight="1" x14ac:dyDescent="0.15">
      <c r="A177" s="26"/>
      <c r="XP177" s="25"/>
    </row>
    <row r="178" spans="1:640" ht="6" customHeight="1" x14ac:dyDescent="0.15">
      <c r="A178" s="26"/>
      <c r="XP178" s="25"/>
    </row>
    <row r="179" spans="1:640" ht="6" customHeight="1" x14ac:dyDescent="0.15">
      <c r="A179" s="26"/>
      <c r="XP179" s="25"/>
    </row>
    <row r="180" spans="1:640" ht="6" customHeight="1" x14ac:dyDescent="0.15">
      <c r="A180" s="26"/>
      <c r="XP180" s="25"/>
    </row>
    <row r="181" spans="1:640" ht="6" customHeight="1" x14ac:dyDescent="0.15">
      <c r="A181" s="26"/>
      <c r="XP181" s="25"/>
    </row>
    <row r="182" spans="1:640" ht="6" customHeight="1" x14ac:dyDescent="0.15">
      <c r="A182" s="26"/>
      <c r="XP182" s="25"/>
    </row>
    <row r="183" spans="1:640" ht="6" customHeight="1" x14ac:dyDescent="0.15">
      <c r="A183" s="26"/>
      <c r="XP183" s="25"/>
    </row>
    <row r="184" spans="1:640" ht="6" customHeight="1" x14ac:dyDescent="0.15">
      <c r="A184" s="26"/>
      <c r="XP184" s="25"/>
    </row>
    <row r="185" spans="1:640" ht="6" customHeight="1" x14ac:dyDescent="0.15">
      <c r="A185" s="26"/>
      <c r="XP185" s="25"/>
    </row>
    <row r="186" spans="1:640" ht="6" customHeight="1" x14ac:dyDescent="0.15">
      <c r="A186" s="26"/>
      <c r="XP186" s="25"/>
    </row>
    <row r="187" spans="1:640" ht="6" customHeight="1" x14ac:dyDescent="0.15">
      <c r="A187" s="26"/>
      <c r="XP187" s="25"/>
    </row>
    <row r="188" spans="1:640" ht="6" customHeight="1" x14ac:dyDescent="0.15">
      <c r="A188" s="26"/>
      <c r="XP188" s="25"/>
    </row>
    <row r="189" spans="1:640" ht="6" customHeight="1" x14ac:dyDescent="0.15">
      <c r="A189" s="26"/>
      <c r="XP189" s="25"/>
    </row>
    <row r="190" spans="1:640" ht="6" customHeight="1" x14ac:dyDescent="0.15">
      <c r="A190" s="26"/>
      <c r="XP190" s="25"/>
    </row>
    <row r="191" spans="1:640" ht="6" customHeight="1" x14ac:dyDescent="0.15">
      <c r="A191" s="26"/>
      <c r="XP191" s="25"/>
    </row>
    <row r="192" spans="1:640" ht="6" customHeight="1" x14ac:dyDescent="0.15">
      <c r="A192" s="26"/>
      <c r="XP192" s="25"/>
    </row>
    <row r="193" spans="1:640" ht="6" customHeight="1" x14ac:dyDescent="0.15">
      <c r="A193" s="26"/>
      <c r="XP193" s="25"/>
    </row>
    <row r="194" spans="1:640" ht="6" customHeight="1" x14ac:dyDescent="0.15">
      <c r="A194" s="26"/>
      <c r="XP194" s="25"/>
    </row>
    <row r="195" spans="1:640" ht="6" customHeight="1" x14ac:dyDescent="0.15">
      <c r="A195" s="26"/>
      <c r="XP195" s="25"/>
    </row>
    <row r="196" spans="1:640" ht="6" customHeight="1" x14ac:dyDescent="0.15">
      <c r="A196" s="26"/>
      <c r="XP196" s="25"/>
    </row>
    <row r="197" spans="1:640" ht="6" customHeight="1" x14ac:dyDescent="0.15">
      <c r="A197" s="26"/>
      <c r="XP197" s="25"/>
    </row>
    <row r="198" spans="1:640" ht="6" customHeight="1" x14ac:dyDescent="0.15">
      <c r="A198" s="26"/>
      <c r="XP198" s="25"/>
    </row>
    <row r="199" spans="1:640" ht="6" customHeight="1" x14ac:dyDescent="0.15">
      <c r="A199" s="26"/>
      <c r="XP199" s="25"/>
    </row>
    <row r="200" spans="1:640" ht="6" customHeight="1" x14ac:dyDescent="0.15">
      <c r="A200" s="26"/>
      <c r="XP200" s="25"/>
    </row>
    <row r="201" spans="1:640" ht="6" customHeight="1" x14ac:dyDescent="0.15">
      <c r="A201" s="26"/>
      <c r="XP201" s="25"/>
    </row>
    <row r="202" spans="1:640" ht="6" customHeight="1" x14ac:dyDescent="0.15">
      <c r="A202" s="26"/>
      <c r="XP202" s="25"/>
    </row>
    <row r="203" spans="1:640" ht="6" customHeight="1" x14ac:dyDescent="0.15">
      <c r="A203" s="26"/>
      <c r="XP203" s="25"/>
    </row>
    <row r="204" spans="1:640" ht="6" customHeight="1" x14ac:dyDescent="0.15">
      <c r="A204" s="26"/>
      <c r="XP204" s="25"/>
    </row>
    <row r="205" spans="1:640" ht="6" customHeight="1" x14ac:dyDescent="0.15">
      <c r="A205" s="26"/>
      <c r="XP205" s="25"/>
    </row>
    <row r="206" spans="1:640" ht="6" customHeight="1" x14ac:dyDescent="0.15">
      <c r="A206" s="26"/>
      <c r="XP206" s="25"/>
    </row>
    <row r="207" spans="1:640" ht="6" customHeight="1" x14ac:dyDescent="0.15">
      <c r="A207" s="26"/>
      <c r="XP207" s="25"/>
    </row>
    <row r="208" spans="1:640" ht="6" customHeight="1" x14ac:dyDescent="0.15">
      <c r="A208" s="26"/>
      <c r="XP208" s="25"/>
    </row>
    <row r="209" spans="1:640" ht="6" customHeight="1" x14ac:dyDescent="0.15">
      <c r="A209" s="26"/>
      <c r="XP209" s="25"/>
    </row>
    <row r="210" spans="1:640" ht="6" customHeight="1" x14ac:dyDescent="0.15">
      <c r="A210" s="26"/>
      <c r="XP210" s="25"/>
    </row>
    <row r="211" spans="1:640" ht="6" customHeight="1" x14ac:dyDescent="0.15">
      <c r="A211" s="26"/>
      <c r="XP211" s="25"/>
    </row>
    <row r="212" spans="1:640" ht="6" customHeight="1" x14ac:dyDescent="0.15">
      <c r="A212" s="26"/>
      <c r="XP212" s="25"/>
    </row>
    <row r="213" spans="1:640" ht="6" customHeight="1" x14ac:dyDescent="0.15">
      <c r="A213" s="26"/>
      <c r="XP213" s="25"/>
    </row>
    <row r="214" spans="1:640" ht="6" customHeight="1" x14ac:dyDescent="0.15">
      <c r="A214" s="26"/>
      <c r="XP214" s="25"/>
    </row>
    <row r="215" spans="1:640" ht="6" customHeight="1" x14ac:dyDescent="0.15">
      <c r="A215" s="26"/>
      <c r="XP215" s="25"/>
    </row>
    <row r="216" spans="1:640" ht="6" customHeight="1" x14ac:dyDescent="0.15">
      <c r="A216" s="26"/>
      <c r="XP216" s="25"/>
    </row>
    <row r="217" spans="1:640" ht="6" customHeight="1" x14ac:dyDescent="0.15">
      <c r="A217" s="26"/>
      <c r="XP217" s="25"/>
    </row>
    <row r="218" spans="1:640" ht="6" customHeight="1" x14ac:dyDescent="0.15">
      <c r="A218" s="26"/>
      <c r="XP218" s="25"/>
    </row>
    <row r="219" spans="1:640" ht="6" customHeight="1" x14ac:dyDescent="0.15">
      <c r="A219" s="26"/>
      <c r="XP219" s="25"/>
    </row>
    <row r="220" spans="1:640" ht="6" customHeight="1" x14ac:dyDescent="0.15">
      <c r="A220" s="26"/>
      <c r="XP220" s="25"/>
    </row>
    <row r="221" spans="1:640" ht="6" customHeight="1" x14ac:dyDescent="0.15">
      <c r="A221" s="26"/>
      <c r="XP221" s="25"/>
    </row>
    <row r="222" spans="1:640" ht="6" customHeight="1" x14ac:dyDescent="0.15">
      <c r="A222" s="26"/>
      <c r="XP222" s="25"/>
    </row>
    <row r="223" spans="1:640" ht="6" customHeight="1" x14ac:dyDescent="0.15">
      <c r="A223" s="26"/>
      <c r="XP223" s="25"/>
    </row>
    <row r="224" spans="1:640" ht="6" customHeight="1" x14ac:dyDescent="0.15">
      <c r="A224" s="26"/>
      <c r="XP224" s="25"/>
    </row>
    <row r="225" spans="1:640" ht="6" customHeight="1" x14ac:dyDescent="0.15">
      <c r="A225" s="26"/>
      <c r="XP225" s="25"/>
    </row>
    <row r="226" spans="1:640" ht="6" customHeight="1" x14ac:dyDescent="0.15">
      <c r="A226" s="26"/>
      <c r="XP226" s="25"/>
    </row>
    <row r="227" spans="1:640" ht="6" customHeight="1" x14ac:dyDescent="0.15">
      <c r="A227" s="26"/>
      <c r="XP227" s="25"/>
    </row>
    <row r="228" spans="1:640" ht="6" customHeight="1" x14ac:dyDescent="0.15">
      <c r="A228" s="26"/>
      <c r="XP228" s="25"/>
    </row>
    <row r="229" spans="1:640" ht="6" customHeight="1" x14ac:dyDescent="0.15">
      <c r="A229" s="26"/>
      <c r="XP229" s="25"/>
    </row>
    <row r="230" spans="1:640" ht="6" customHeight="1" x14ac:dyDescent="0.15">
      <c r="A230" s="26"/>
      <c r="XP230" s="25"/>
    </row>
    <row r="231" spans="1:640" ht="6" customHeight="1" x14ac:dyDescent="0.15">
      <c r="A231" s="26"/>
      <c r="XP231" s="25"/>
    </row>
    <row r="232" spans="1:640" ht="6" customHeight="1" x14ac:dyDescent="0.15">
      <c r="A232" s="26"/>
      <c r="XP232" s="25"/>
    </row>
    <row r="233" spans="1:640" ht="6" customHeight="1" x14ac:dyDescent="0.15">
      <c r="A233" s="26"/>
      <c r="XP233" s="25"/>
    </row>
    <row r="234" spans="1:640" ht="6" customHeight="1" x14ac:dyDescent="0.15">
      <c r="A234" s="26"/>
      <c r="XP234" s="25"/>
    </row>
    <row r="235" spans="1:640" ht="6" customHeight="1" x14ac:dyDescent="0.15">
      <c r="A235" s="26"/>
      <c r="XP235" s="25"/>
    </row>
    <row r="236" spans="1:640" ht="6" customHeight="1" x14ac:dyDescent="0.15">
      <c r="A236" s="26"/>
      <c r="XP236" s="25"/>
    </row>
    <row r="237" spans="1:640" ht="6" customHeight="1" x14ac:dyDescent="0.15">
      <c r="A237" s="26"/>
      <c r="XP237" s="25"/>
    </row>
    <row r="238" spans="1:640" ht="6" customHeight="1" x14ac:dyDescent="0.15">
      <c r="A238" s="26"/>
      <c r="XP238" s="25"/>
    </row>
    <row r="239" spans="1:640" ht="6" customHeight="1" x14ac:dyDescent="0.15">
      <c r="A239" s="26"/>
      <c r="XP239" s="25"/>
    </row>
    <row r="240" spans="1:640" ht="6" customHeight="1" x14ac:dyDescent="0.15">
      <c r="A240" s="26"/>
      <c r="XP240" s="25"/>
    </row>
    <row r="241" spans="1:640" ht="6" customHeight="1" x14ac:dyDescent="0.15">
      <c r="A241" s="26"/>
      <c r="XP241" s="25"/>
    </row>
    <row r="242" spans="1:640" ht="6" customHeight="1" x14ac:dyDescent="0.15">
      <c r="A242" s="26"/>
      <c r="XP242" s="25"/>
    </row>
    <row r="243" spans="1:640" ht="6" customHeight="1" x14ac:dyDescent="0.15">
      <c r="A243" s="26"/>
      <c r="XP243" s="25"/>
    </row>
    <row r="244" spans="1:640" ht="6" customHeight="1" x14ac:dyDescent="0.15">
      <c r="A244" s="26"/>
      <c r="XP244" s="25"/>
    </row>
    <row r="245" spans="1:640" ht="6" customHeight="1" x14ac:dyDescent="0.15">
      <c r="A245" s="26"/>
      <c r="XP245" s="25"/>
    </row>
    <row r="246" spans="1:640" ht="6" customHeight="1" x14ac:dyDescent="0.15">
      <c r="A246" s="26"/>
      <c r="XP246" s="25"/>
    </row>
    <row r="247" spans="1:640" ht="6" customHeight="1" x14ac:dyDescent="0.15">
      <c r="A247" s="26"/>
      <c r="XP247" s="25"/>
    </row>
    <row r="248" spans="1:640" ht="6" customHeight="1" x14ac:dyDescent="0.15">
      <c r="A248" s="26"/>
      <c r="XP248" s="25"/>
    </row>
    <row r="249" spans="1:640" ht="6" customHeight="1" x14ac:dyDescent="0.15">
      <c r="A249" s="26"/>
      <c r="XP249" s="25"/>
    </row>
    <row r="250" spans="1:640" ht="6" customHeight="1" x14ac:dyDescent="0.15">
      <c r="A250" s="26"/>
      <c r="XP250" s="25"/>
    </row>
    <row r="251" spans="1:640" ht="6" customHeight="1" x14ac:dyDescent="0.15">
      <c r="A251" s="26"/>
      <c r="XP251" s="25"/>
    </row>
    <row r="252" spans="1:640" ht="6" customHeight="1" x14ac:dyDescent="0.15">
      <c r="A252" s="26"/>
      <c r="XP252" s="25"/>
    </row>
    <row r="253" spans="1:640" ht="6" customHeight="1" x14ac:dyDescent="0.15">
      <c r="A253" s="26"/>
      <c r="XP253" s="25"/>
    </row>
    <row r="254" spans="1:640" ht="6" customHeight="1" x14ac:dyDescent="0.15">
      <c r="A254" s="26"/>
      <c r="XP254" s="25"/>
    </row>
    <row r="255" spans="1:640" ht="6" customHeight="1" x14ac:dyDescent="0.15">
      <c r="A255" s="26"/>
      <c r="XP255" s="25"/>
    </row>
    <row r="256" spans="1:640" ht="6" customHeight="1" x14ac:dyDescent="0.15">
      <c r="A256" s="26"/>
      <c r="XP256" s="25"/>
    </row>
    <row r="257" spans="1:640" ht="6" customHeight="1" x14ac:dyDescent="0.15">
      <c r="A257" s="26"/>
      <c r="XP257" s="25"/>
    </row>
    <row r="258" spans="1:640" ht="6" customHeight="1" x14ac:dyDescent="0.15">
      <c r="A258" s="26"/>
      <c r="XP258" s="25"/>
    </row>
    <row r="259" spans="1:640" ht="6" customHeight="1" x14ac:dyDescent="0.15">
      <c r="A259" s="26"/>
      <c r="XP259" s="25"/>
    </row>
    <row r="260" spans="1:640" ht="6" customHeight="1" x14ac:dyDescent="0.15">
      <c r="A260" s="26"/>
      <c r="XP260" s="25"/>
    </row>
    <row r="261" spans="1:640" ht="6" customHeight="1" x14ac:dyDescent="0.15">
      <c r="A261" s="26"/>
      <c r="XP261" s="25"/>
    </row>
    <row r="262" spans="1:640" ht="6" customHeight="1" x14ac:dyDescent="0.15">
      <c r="A262" s="26"/>
      <c r="XP262" s="25"/>
    </row>
    <row r="263" spans="1:640" ht="6" customHeight="1" x14ac:dyDescent="0.15">
      <c r="A263" s="26"/>
      <c r="XP263" s="25"/>
    </row>
    <row r="264" spans="1:640" ht="6" customHeight="1" x14ac:dyDescent="0.15">
      <c r="A264" s="26"/>
      <c r="XP264" s="25"/>
    </row>
    <row r="265" spans="1:640" ht="6" customHeight="1" x14ac:dyDescent="0.15">
      <c r="A265" s="26"/>
      <c r="XP265" s="25"/>
    </row>
    <row r="266" spans="1:640" ht="6" customHeight="1" x14ac:dyDescent="0.15">
      <c r="A266" s="26"/>
      <c r="XP266" s="25"/>
    </row>
    <row r="267" spans="1:640" ht="6" customHeight="1" x14ac:dyDescent="0.15">
      <c r="A267" s="26"/>
      <c r="XP267" s="25"/>
    </row>
    <row r="268" spans="1:640" ht="6" customHeight="1" x14ac:dyDescent="0.15">
      <c r="A268" s="26"/>
      <c r="XP268" s="25"/>
    </row>
    <row r="269" spans="1:640" ht="6" customHeight="1" x14ac:dyDescent="0.15">
      <c r="A269" s="26"/>
      <c r="XP269" s="25"/>
    </row>
    <row r="270" spans="1:640" ht="6" customHeight="1" x14ac:dyDescent="0.15">
      <c r="A270" s="26"/>
      <c r="XP270" s="25"/>
    </row>
    <row r="271" spans="1:640" ht="6" customHeight="1" x14ac:dyDescent="0.15">
      <c r="A271" s="26"/>
      <c r="XP271" s="25"/>
    </row>
    <row r="272" spans="1:640" ht="6" customHeight="1" x14ac:dyDescent="0.15">
      <c r="A272" s="26"/>
      <c r="XP272" s="25"/>
    </row>
    <row r="273" spans="1:640" ht="6" customHeight="1" x14ac:dyDescent="0.15">
      <c r="A273" s="26"/>
      <c r="XP273" s="25"/>
    </row>
    <row r="274" spans="1:640" ht="6" customHeight="1" x14ac:dyDescent="0.15">
      <c r="A274" s="26"/>
      <c r="XP274" s="25"/>
    </row>
    <row r="275" spans="1:640" ht="6" customHeight="1" x14ac:dyDescent="0.15">
      <c r="A275" s="26"/>
      <c r="XP275" s="25"/>
    </row>
    <row r="276" spans="1:640" ht="6" customHeight="1" x14ac:dyDescent="0.15">
      <c r="A276" s="26"/>
      <c r="XP276" s="25"/>
    </row>
    <row r="277" spans="1:640" ht="6" customHeight="1" x14ac:dyDescent="0.15">
      <c r="A277" s="26"/>
      <c r="XP277" s="25"/>
    </row>
    <row r="278" spans="1:640" ht="6" customHeight="1" x14ac:dyDescent="0.15">
      <c r="A278" s="26"/>
      <c r="XP278" s="25"/>
    </row>
    <row r="279" spans="1:640" ht="6" customHeight="1" x14ac:dyDescent="0.15">
      <c r="A279" s="26"/>
      <c r="XP279" s="25"/>
    </row>
    <row r="280" spans="1:640" ht="6" customHeight="1" x14ac:dyDescent="0.15">
      <c r="A280" s="26"/>
      <c r="XP280" s="25"/>
    </row>
    <row r="281" spans="1:640" ht="6" customHeight="1" x14ac:dyDescent="0.15">
      <c r="A281" s="26"/>
      <c r="XP281" s="25"/>
    </row>
    <row r="282" spans="1:640" ht="6" customHeight="1" x14ac:dyDescent="0.15">
      <c r="A282" s="26"/>
      <c r="XP282" s="25"/>
    </row>
    <row r="283" spans="1:640" ht="6" customHeight="1" x14ac:dyDescent="0.15">
      <c r="A283" s="26"/>
      <c r="XP283" s="25"/>
    </row>
    <row r="284" spans="1:640" ht="6" customHeight="1" x14ac:dyDescent="0.15">
      <c r="A284" s="26"/>
      <c r="XP284" s="25"/>
    </row>
    <row r="285" spans="1:640" ht="6" customHeight="1" x14ac:dyDescent="0.15">
      <c r="A285" s="26"/>
      <c r="XP285" s="25"/>
    </row>
    <row r="286" spans="1:640" ht="6" customHeight="1" x14ac:dyDescent="0.15">
      <c r="A286" s="26"/>
      <c r="XP286" s="25"/>
    </row>
    <row r="287" spans="1:640" ht="6" customHeight="1" x14ac:dyDescent="0.15">
      <c r="A287" s="26"/>
      <c r="XP287" s="25"/>
    </row>
    <row r="288" spans="1:640" ht="6" customHeight="1" x14ac:dyDescent="0.15">
      <c r="A288" s="26"/>
      <c r="XP288" s="25"/>
    </row>
    <row r="289" spans="1:640" ht="6" customHeight="1" x14ac:dyDescent="0.15">
      <c r="A289" s="26"/>
      <c r="XP289" s="25"/>
    </row>
    <row r="290" spans="1:640" ht="6" customHeight="1" x14ac:dyDescent="0.15">
      <c r="A290" s="26"/>
      <c r="XP290" s="25"/>
    </row>
    <row r="291" spans="1:640" ht="6" customHeight="1" x14ac:dyDescent="0.15">
      <c r="A291" s="26"/>
      <c r="XP291" s="25"/>
    </row>
    <row r="292" spans="1:640" ht="6" customHeight="1" x14ac:dyDescent="0.15">
      <c r="A292" s="26"/>
      <c r="XP292" s="25"/>
    </row>
    <row r="293" spans="1:640" ht="6" customHeight="1" x14ac:dyDescent="0.15">
      <c r="A293" s="26"/>
      <c r="XP293" s="25"/>
    </row>
    <row r="294" spans="1:640" ht="6" customHeight="1" x14ac:dyDescent="0.15">
      <c r="A294" s="26"/>
      <c r="XP294" s="25"/>
    </row>
    <row r="295" spans="1:640" ht="6" customHeight="1" x14ac:dyDescent="0.15">
      <c r="A295" s="26"/>
      <c r="XP295" s="25"/>
    </row>
    <row r="296" spans="1:640" ht="6" customHeight="1" x14ac:dyDescent="0.15">
      <c r="A296" s="26"/>
      <c r="XP296" s="25"/>
    </row>
    <row r="297" spans="1:640" ht="6" customHeight="1" x14ac:dyDescent="0.15">
      <c r="A297" s="26"/>
      <c r="XP297" s="25"/>
    </row>
    <row r="298" spans="1:640" ht="6" customHeight="1" x14ac:dyDescent="0.15">
      <c r="A298" s="26"/>
      <c r="XP298" s="25"/>
    </row>
    <row r="299" spans="1:640" ht="6" customHeight="1" x14ac:dyDescent="0.15">
      <c r="A299" s="26"/>
      <c r="XP299" s="25"/>
    </row>
    <row r="300" spans="1:640" ht="6" customHeight="1" x14ac:dyDescent="0.15">
      <c r="A300" s="26"/>
      <c r="XP300" s="25"/>
    </row>
    <row r="301" spans="1:640" ht="6" customHeight="1" x14ac:dyDescent="0.15">
      <c r="A301" s="26"/>
      <c r="XP301" s="25"/>
    </row>
    <row r="302" spans="1:640" ht="6" customHeight="1" x14ac:dyDescent="0.15">
      <c r="A302" s="26"/>
      <c r="XP302" s="25"/>
    </row>
    <row r="303" spans="1:640" ht="6" customHeight="1" x14ac:dyDescent="0.15">
      <c r="A303" s="26"/>
      <c r="XP303" s="25"/>
    </row>
    <row r="304" spans="1:640" ht="6" customHeight="1" x14ac:dyDescent="0.15">
      <c r="A304" s="26"/>
      <c r="XP304" s="25"/>
    </row>
    <row r="305" spans="1:640" ht="6" customHeight="1" x14ac:dyDescent="0.15">
      <c r="A305" s="26"/>
      <c r="XP305" s="25"/>
    </row>
    <row r="306" spans="1:640" ht="6" customHeight="1" x14ac:dyDescent="0.15">
      <c r="A306" s="26"/>
      <c r="XP306" s="25"/>
    </row>
    <row r="307" spans="1:640" ht="6" customHeight="1" x14ac:dyDescent="0.15">
      <c r="A307" s="26"/>
      <c r="XP307" s="25"/>
    </row>
    <row r="308" spans="1:640" ht="6" customHeight="1" x14ac:dyDescent="0.15">
      <c r="A308" s="26"/>
      <c r="XP308" s="25"/>
    </row>
    <row r="309" spans="1:640" ht="6" customHeight="1" x14ac:dyDescent="0.15">
      <c r="A309" s="26"/>
      <c r="XP309" s="25"/>
    </row>
    <row r="310" spans="1:640" ht="6" customHeight="1" x14ac:dyDescent="0.15">
      <c r="A310" s="26"/>
      <c r="XP310" s="25"/>
    </row>
    <row r="311" spans="1:640" ht="6" customHeight="1" x14ac:dyDescent="0.15">
      <c r="A311" s="26"/>
      <c r="XP311" s="25"/>
    </row>
    <row r="312" spans="1:640" ht="6" customHeight="1" x14ac:dyDescent="0.15">
      <c r="A312" s="26"/>
      <c r="XP312" s="25"/>
    </row>
    <row r="313" spans="1:640" ht="6" customHeight="1" x14ac:dyDescent="0.15">
      <c r="A313" s="26"/>
      <c r="XP313" s="25"/>
    </row>
    <row r="314" spans="1:640" ht="6" customHeight="1" x14ac:dyDescent="0.15">
      <c r="A314" s="26"/>
      <c r="XP314" s="25"/>
    </row>
    <row r="315" spans="1:640" ht="6" customHeight="1" x14ac:dyDescent="0.15">
      <c r="A315" s="26"/>
      <c r="XP315" s="25"/>
    </row>
    <row r="316" spans="1:640" ht="6" customHeight="1" x14ac:dyDescent="0.15">
      <c r="A316" s="26"/>
      <c r="XP316" s="25"/>
    </row>
    <row r="317" spans="1:640" ht="6" customHeight="1" x14ac:dyDescent="0.15">
      <c r="A317" s="26"/>
      <c r="XP317" s="25"/>
    </row>
    <row r="318" spans="1:640" ht="6" customHeight="1" x14ac:dyDescent="0.15">
      <c r="A318" s="26"/>
      <c r="XP318" s="25"/>
    </row>
    <row r="319" spans="1:640" ht="6" customHeight="1" x14ac:dyDescent="0.15">
      <c r="A319" s="26"/>
      <c r="XP319" s="25"/>
    </row>
    <row r="320" spans="1:640" ht="6" customHeight="1" x14ac:dyDescent="0.15">
      <c r="A320" s="26"/>
      <c r="XP320" s="25"/>
    </row>
    <row r="321" spans="1:640" ht="6" customHeight="1" x14ac:dyDescent="0.15">
      <c r="A321" s="26"/>
      <c r="XP321" s="25"/>
    </row>
    <row r="322" spans="1:640" ht="6" customHeight="1" x14ac:dyDescent="0.15">
      <c r="A322" s="26"/>
      <c r="XP322" s="25"/>
    </row>
    <row r="323" spans="1:640" ht="6" customHeight="1" x14ac:dyDescent="0.15">
      <c r="A323" s="26"/>
      <c r="XP323" s="25"/>
    </row>
    <row r="324" spans="1:640" ht="6" customHeight="1" x14ac:dyDescent="0.15">
      <c r="A324" s="26"/>
      <c r="XP324" s="25"/>
    </row>
    <row r="325" spans="1:640" ht="6" customHeight="1" x14ac:dyDescent="0.15">
      <c r="A325" s="26"/>
      <c r="XP325" s="25"/>
    </row>
    <row r="326" spans="1:640" ht="6" customHeight="1" x14ac:dyDescent="0.15">
      <c r="A326" s="26"/>
      <c r="XP326" s="25"/>
    </row>
    <row r="327" spans="1:640" ht="6" customHeight="1" x14ac:dyDescent="0.15">
      <c r="A327" s="26"/>
      <c r="XP327" s="25"/>
    </row>
    <row r="328" spans="1:640" ht="6" customHeight="1" x14ac:dyDescent="0.15">
      <c r="A328" s="26"/>
      <c r="XP328" s="25"/>
    </row>
    <row r="329" spans="1:640" ht="6" customHeight="1" x14ac:dyDescent="0.15">
      <c r="A329" s="26"/>
      <c r="XP329" s="25"/>
    </row>
    <row r="330" spans="1:640" ht="6" customHeight="1" x14ac:dyDescent="0.15">
      <c r="A330" s="26"/>
      <c r="XP330" s="25"/>
    </row>
    <row r="331" spans="1:640" ht="6" customHeight="1" x14ac:dyDescent="0.15">
      <c r="A331" s="26"/>
      <c r="XP331" s="25"/>
    </row>
    <row r="332" spans="1:640" ht="6" customHeight="1" x14ac:dyDescent="0.15">
      <c r="A332" s="26"/>
      <c r="XP332" s="25"/>
    </row>
    <row r="333" spans="1:640" ht="6" customHeight="1" x14ac:dyDescent="0.15">
      <c r="A333" s="26"/>
      <c r="XP333" s="25"/>
    </row>
    <row r="334" spans="1:640" ht="6" customHeight="1" x14ac:dyDescent="0.15">
      <c r="A334" s="26"/>
      <c r="XP334" s="25"/>
    </row>
    <row r="335" spans="1:640" ht="6" customHeight="1" x14ac:dyDescent="0.15">
      <c r="A335" s="26"/>
      <c r="XP335" s="25"/>
    </row>
    <row r="336" spans="1:640" ht="6" customHeight="1" x14ac:dyDescent="0.15">
      <c r="A336" s="26"/>
      <c r="XP336" s="25"/>
    </row>
    <row r="337" spans="1:640" ht="6" customHeight="1" x14ac:dyDescent="0.15">
      <c r="A337" s="26"/>
      <c r="XP337" s="25"/>
    </row>
    <row r="338" spans="1:640" ht="6" customHeight="1" x14ac:dyDescent="0.15">
      <c r="A338" s="26"/>
      <c r="XP338" s="25"/>
    </row>
    <row r="339" spans="1:640" ht="6" customHeight="1" x14ac:dyDescent="0.15">
      <c r="A339" s="26"/>
      <c r="XP339" s="25"/>
    </row>
    <row r="340" spans="1:640" ht="6" customHeight="1" x14ac:dyDescent="0.15">
      <c r="A340" s="26"/>
      <c r="XP340" s="25"/>
    </row>
    <row r="341" spans="1:640" ht="6" customHeight="1" x14ac:dyDescent="0.15">
      <c r="A341" s="26"/>
      <c r="XP341" s="25"/>
    </row>
    <row r="342" spans="1:640" ht="6" customHeight="1" x14ac:dyDescent="0.15">
      <c r="A342" s="26"/>
      <c r="XP342" s="25"/>
    </row>
    <row r="343" spans="1:640" ht="6" customHeight="1" x14ac:dyDescent="0.15">
      <c r="A343" s="26"/>
      <c r="XP343" s="25"/>
    </row>
    <row r="344" spans="1:640" ht="6" customHeight="1" x14ac:dyDescent="0.15">
      <c r="A344" s="26"/>
      <c r="XP344" s="25"/>
    </row>
    <row r="345" spans="1:640" ht="6" customHeight="1" x14ac:dyDescent="0.15">
      <c r="A345" s="26"/>
      <c r="XP345" s="25"/>
    </row>
    <row r="346" spans="1:640" ht="6" customHeight="1" x14ac:dyDescent="0.15">
      <c r="A346" s="26"/>
      <c r="XP346" s="25"/>
    </row>
    <row r="347" spans="1:640" ht="6" customHeight="1" x14ac:dyDescent="0.15">
      <c r="A347" s="26"/>
      <c r="XP347" s="25"/>
    </row>
    <row r="348" spans="1:640" ht="6" customHeight="1" x14ac:dyDescent="0.15">
      <c r="A348" s="26"/>
      <c r="XP348" s="25"/>
    </row>
    <row r="349" spans="1:640" ht="6" customHeight="1" x14ac:dyDescent="0.15">
      <c r="A349" s="26"/>
      <c r="XP349" s="25"/>
    </row>
    <row r="350" spans="1:640" ht="6" customHeight="1" x14ac:dyDescent="0.15">
      <c r="A350" s="26"/>
      <c r="XP350" s="25"/>
    </row>
    <row r="351" spans="1:640" ht="6" customHeight="1" x14ac:dyDescent="0.15">
      <c r="A351" s="26"/>
      <c r="XP351" s="25"/>
    </row>
    <row r="352" spans="1:640" ht="6" customHeight="1" x14ac:dyDescent="0.15">
      <c r="A352" s="26"/>
      <c r="XP352" s="25"/>
    </row>
    <row r="353" spans="1:640" ht="6" customHeight="1" x14ac:dyDescent="0.15">
      <c r="A353" s="26"/>
      <c r="XP353" s="25"/>
    </row>
    <row r="354" spans="1:640" ht="6" customHeight="1" x14ac:dyDescent="0.15">
      <c r="A354" s="26"/>
      <c r="XP354" s="25"/>
    </row>
    <row r="355" spans="1:640" ht="6" customHeight="1" x14ac:dyDescent="0.15">
      <c r="A355" s="26"/>
      <c r="XP355" s="25"/>
    </row>
    <row r="356" spans="1:640" ht="6" customHeight="1" x14ac:dyDescent="0.15">
      <c r="A356" s="26"/>
      <c r="XP356" s="25"/>
    </row>
    <row r="357" spans="1:640" ht="6" customHeight="1" x14ac:dyDescent="0.15">
      <c r="A357" s="26"/>
      <c r="XP357" s="25"/>
    </row>
    <row r="358" spans="1:640" ht="6" customHeight="1" x14ac:dyDescent="0.15">
      <c r="A358" s="26"/>
      <c r="XP358" s="25"/>
    </row>
    <row r="359" spans="1:640" ht="6" customHeight="1" x14ac:dyDescent="0.15">
      <c r="A359" s="26"/>
      <c r="XP359" s="25"/>
    </row>
    <row r="360" spans="1:640" ht="6" customHeight="1" x14ac:dyDescent="0.15">
      <c r="A360" s="26"/>
      <c r="XP360" s="25"/>
    </row>
    <row r="361" spans="1:640" ht="6" customHeight="1" x14ac:dyDescent="0.15">
      <c r="A361" s="26"/>
      <c r="XP361" s="25"/>
    </row>
    <row r="362" spans="1:640" ht="6" customHeight="1" x14ac:dyDescent="0.15">
      <c r="A362" s="26"/>
      <c r="XP362" s="25"/>
    </row>
    <row r="363" spans="1:640" ht="6" customHeight="1" x14ac:dyDescent="0.15">
      <c r="A363" s="26"/>
      <c r="XP363" s="25"/>
    </row>
    <row r="364" spans="1:640" ht="6" customHeight="1" x14ac:dyDescent="0.15">
      <c r="A364" s="26"/>
      <c r="XP364" s="25"/>
    </row>
    <row r="365" spans="1:640" ht="6" customHeight="1" x14ac:dyDescent="0.15">
      <c r="A365" s="26"/>
      <c r="XP365" s="25"/>
    </row>
    <row r="366" spans="1:640" ht="6" customHeight="1" x14ac:dyDescent="0.15">
      <c r="A366" s="26"/>
      <c r="XP366" s="25"/>
    </row>
    <row r="367" spans="1:640" ht="6" customHeight="1" x14ac:dyDescent="0.15">
      <c r="A367" s="26"/>
      <c r="XP367" s="25"/>
    </row>
    <row r="368" spans="1:640" ht="6" customHeight="1" x14ac:dyDescent="0.15">
      <c r="A368" s="26"/>
      <c r="XP368" s="25"/>
    </row>
    <row r="369" spans="1:640" ht="6" customHeight="1" x14ac:dyDescent="0.15">
      <c r="A369" s="26"/>
      <c r="XP369" s="25"/>
    </row>
    <row r="370" spans="1:640" ht="6" customHeight="1" x14ac:dyDescent="0.15">
      <c r="A370" s="26"/>
      <c r="XP370" s="25"/>
    </row>
    <row r="371" spans="1:640" ht="6" customHeight="1" x14ac:dyDescent="0.15">
      <c r="A371" s="26"/>
      <c r="XP371" s="25"/>
    </row>
    <row r="372" spans="1:640" ht="6" customHeight="1" x14ac:dyDescent="0.15">
      <c r="A372" s="26"/>
      <c r="XP372" s="25"/>
    </row>
    <row r="373" spans="1:640" ht="6" customHeight="1" x14ac:dyDescent="0.15">
      <c r="A373" s="26"/>
      <c r="XP373" s="25"/>
    </row>
    <row r="374" spans="1:640" ht="6" customHeight="1" x14ac:dyDescent="0.15">
      <c r="A374" s="26"/>
      <c r="XP374" s="25"/>
    </row>
    <row r="375" spans="1:640" ht="6" customHeight="1" x14ac:dyDescent="0.15">
      <c r="A375" s="26"/>
      <c r="XP375" s="25"/>
    </row>
    <row r="376" spans="1:640" ht="6" customHeight="1" x14ac:dyDescent="0.15">
      <c r="A376" s="26"/>
      <c r="XP376" s="25"/>
    </row>
    <row r="377" spans="1:640" ht="6" customHeight="1" x14ac:dyDescent="0.15">
      <c r="A377" s="26"/>
      <c r="XP377" s="25"/>
    </row>
    <row r="378" spans="1:640" ht="6" customHeight="1" x14ac:dyDescent="0.15">
      <c r="A378" s="26"/>
      <c r="XP378" s="25"/>
    </row>
    <row r="379" spans="1:640" ht="6" customHeight="1" x14ac:dyDescent="0.15">
      <c r="A379" s="26"/>
      <c r="XP379" s="25"/>
    </row>
    <row r="380" spans="1:640" ht="6" customHeight="1" x14ac:dyDescent="0.15">
      <c r="A380" s="26"/>
      <c r="XP380" s="25"/>
    </row>
    <row r="381" spans="1:640" ht="6" customHeight="1" x14ac:dyDescent="0.15">
      <c r="A381" s="26"/>
      <c r="XP381" s="25"/>
    </row>
    <row r="382" spans="1:640" ht="6" customHeight="1" x14ac:dyDescent="0.15">
      <c r="A382" s="26"/>
      <c r="XP382" s="25"/>
    </row>
    <row r="383" spans="1:640" ht="6" customHeight="1" x14ac:dyDescent="0.15">
      <c r="A383" s="26"/>
      <c r="XP383" s="25"/>
    </row>
    <row r="384" spans="1:640" ht="6" customHeight="1" x14ac:dyDescent="0.15">
      <c r="A384" s="26"/>
      <c r="XP384" s="25"/>
    </row>
    <row r="385" spans="1:640" ht="6" customHeight="1" x14ac:dyDescent="0.15">
      <c r="A385" s="26"/>
      <c r="XP385" s="25"/>
    </row>
    <row r="386" spans="1:640" ht="6" customHeight="1" x14ac:dyDescent="0.15">
      <c r="A386" s="26"/>
      <c r="XP386" s="25"/>
    </row>
    <row r="387" spans="1:640" ht="6" customHeight="1" x14ac:dyDescent="0.15">
      <c r="A387" s="26"/>
      <c r="XP387" s="25"/>
    </row>
    <row r="388" spans="1:640" ht="6" customHeight="1" x14ac:dyDescent="0.15">
      <c r="A388" s="26"/>
      <c r="XP388" s="25"/>
    </row>
    <row r="389" spans="1:640" ht="6" customHeight="1" x14ac:dyDescent="0.15">
      <c r="A389" s="26"/>
      <c r="XP389" s="25"/>
    </row>
    <row r="390" spans="1:640" ht="6" customHeight="1" x14ac:dyDescent="0.15">
      <c r="A390" s="26"/>
      <c r="XP390" s="25"/>
    </row>
    <row r="391" spans="1:640" ht="6" customHeight="1" x14ac:dyDescent="0.15">
      <c r="A391" s="26"/>
      <c r="XP391" s="25"/>
    </row>
    <row r="392" spans="1:640" ht="6" customHeight="1" x14ac:dyDescent="0.15">
      <c r="A392" s="26"/>
      <c r="XP392" s="25"/>
    </row>
    <row r="393" spans="1:640" ht="6" customHeight="1" x14ac:dyDescent="0.15">
      <c r="A393" s="26"/>
      <c r="XP393" s="25"/>
    </row>
    <row r="394" spans="1:640" ht="6" customHeight="1" x14ac:dyDescent="0.15">
      <c r="A394" s="26"/>
      <c r="XP394" s="25"/>
    </row>
    <row r="395" spans="1:640" ht="6" customHeight="1" x14ac:dyDescent="0.15">
      <c r="A395" s="26"/>
      <c r="XP395" s="25"/>
    </row>
    <row r="396" spans="1:640" ht="6" customHeight="1" x14ac:dyDescent="0.15">
      <c r="A396" s="26"/>
      <c r="XP396" s="25"/>
    </row>
    <row r="397" spans="1:640" ht="6" customHeight="1" x14ac:dyDescent="0.15">
      <c r="A397" s="26"/>
      <c r="XP397" s="25"/>
    </row>
    <row r="398" spans="1:640" ht="6" customHeight="1" x14ac:dyDescent="0.15">
      <c r="A398" s="26"/>
      <c r="XP398" s="25"/>
    </row>
    <row r="399" spans="1:640" ht="6" customHeight="1" x14ac:dyDescent="0.15">
      <c r="A399" s="26"/>
      <c r="XP399" s="25"/>
    </row>
    <row r="400" spans="1:640" ht="6" customHeight="1" x14ac:dyDescent="0.15">
      <c r="A400" s="26"/>
      <c r="XP400" s="25"/>
    </row>
    <row r="401" spans="1:640" ht="6" customHeight="1" x14ac:dyDescent="0.15">
      <c r="A401" s="26"/>
      <c r="XP401" s="25"/>
    </row>
    <row r="402" spans="1:640" ht="6" customHeight="1" x14ac:dyDescent="0.15">
      <c r="A402" s="26"/>
      <c r="XP402" s="25"/>
    </row>
    <row r="403" spans="1:640" ht="6" customHeight="1" x14ac:dyDescent="0.15">
      <c r="A403" s="26"/>
      <c r="XP403" s="25"/>
    </row>
    <row r="404" spans="1:640" ht="6" customHeight="1" x14ac:dyDescent="0.15">
      <c r="A404" s="26"/>
      <c r="XP404" s="25"/>
    </row>
    <row r="405" spans="1:640" ht="6" customHeight="1" x14ac:dyDescent="0.15">
      <c r="A405" s="26"/>
      <c r="XP405" s="25"/>
    </row>
    <row r="406" spans="1:640" ht="6" customHeight="1" x14ac:dyDescent="0.15">
      <c r="A406" s="26"/>
      <c r="XP406" s="25"/>
    </row>
    <row r="407" spans="1:640" ht="6" customHeight="1" x14ac:dyDescent="0.15">
      <c r="A407" s="26"/>
      <c r="XP407" s="25"/>
    </row>
    <row r="408" spans="1:640" ht="6" customHeight="1" x14ac:dyDescent="0.15">
      <c r="A408" s="26"/>
      <c r="XP408" s="25"/>
    </row>
    <row r="409" spans="1:640" ht="6" customHeight="1" x14ac:dyDescent="0.15">
      <c r="A409" s="26"/>
      <c r="XP409" s="25"/>
    </row>
    <row r="410" spans="1:640" ht="6" customHeight="1" x14ac:dyDescent="0.15">
      <c r="A410" s="26"/>
      <c r="XP410" s="25"/>
    </row>
    <row r="411" spans="1:640" ht="6" customHeight="1" x14ac:dyDescent="0.15">
      <c r="A411" s="26"/>
      <c r="XP411" s="25"/>
    </row>
    <row r="412" spans="1:640" ht="6" customHeight="1" x14ac:dyDescent="0.15">
      <c r="A412" s="26"/>
      <c r="XP412" s="25"/>
    </row>
    <row r="413" spans="1:640" ht="6" customHeight="1" x14ac:dyDescent="0.15">
      <c r="A413" s="26"/>
      <c r="XP413" s="25"/>
    </row>
    <row r="414" spans="1:640" ht="6" customHeight="1" x14ac:dyDescent="0.15">
      <c r="A414" s="26"/>
      <c r="XP414" s="25"/>
    </row>
    <row r="415" spans="1:640" ht="6" customHeight="1" x14ac:dyDescent="0.15">
      <c r="A415" s="26"/>
      <c r="XP415" s="25"/>
    </row>
    <row r="416" spans="1:640" ht="6" customHeight="1" x14ac:dyDescent="0.15">
      <c r="A416" s="26"/>
      <c r="XP416" s="25"/>
    </row>
    <row r="417" spans="1:640" ht="6" customHeight="1" x14ac:dyDescent="0.15">
      <c r="A417" s="26"/>
      <c r="XP417" s="25"/>
    </row>
    <row r="418" spans="1:640" ht="6" customHeight="1" x14ac:dyDescent="0.15">
      <c r="A418" s="26"/>
      <c r="XP418" s="25"/>
    </row>
    <row r="419" spans="1:640" ht="6" customHeight="1" x14ac:dyDescent="0.15">
      <c r="A419" s="26"/>
      <c r="XP419" s="25"/>
    </row>
    <row r="420" spans="1:640" ht="6" customHeight="1" x14ac:dyDescent="0.15">
      <c r="A420" s="26"/>
      <c r="XP420" s="25"/>
    </row>
    <row r="421" spans="1:640" ht="6" customHeight="1" x14ac:dyDescent="0.15">
      <c r="A421" s="26"/>
      <c r="XP421" s="25"/>
    </row>
    <row r="422" spans="1:640" ht="6" customHeight="1" x14ac:dyDescent="0.15">
      <c r="A422" s="26"/>
      <c r="XP422" s="25"/>
    </row>
    <row r="423" spans="1:640" ht="6" customHeight="1" x14ac:dyDescent="0.15">
      <c r="A423" s="26"/>
      <c r="XP423" s="25"/>
    </row>
    <row r="424" spans="1:640" ht="6" customHeight="1" x14ac:dyDescent="0.15">
      <c r="A424" s="26"/>
      <c r="XP424" s="25"/>
    </row>
    <row r="425" spans="1:640" ht="6" customHeight="1" x14ac:dyDescent="0.15">
      <c r="A425" s="26"/>
      <c r="XP425" s="25"/>
    </row>
    <row r="426" spans="1:640" ht="6" customHeight="1" x14ac:dyDescent="0.15">
      <c r="A426" s="26"/>
      <c r="XP426" s="25"/>
    </row>
    <row r="427" spans="1:640" ht="6" customHeight="1" x14ac:dyDescent="0.15">
      <c r="A427" s="26"/>
      <c r="XP427" s="25"/>
    </row>
    <row r="428" spans="1:640" ht="6" customHeight="1" x14ac:dyDescent="0.15">
      <c r="A428" s="26"/>
      <c r="XP428" s="25"/>
    </row>
    <row r="429" spans="1:640" ht="6" customHeight="1" x14ac:dyDescent="0.15">
      <c r="A429" s="26"/>
      <c r="XP429" s="25"/>
    </row>
    <row r="430" spans="1:640" ht="6" customHeight="1" x14ac:dyDescent="0.15">
      <c r="A430" s="26"/>
      <c r="XP430" s="25"/>
    </row>
    <row r="431" spans="1:640" ht="6" customHeight="1" x14ac:dyDescent="0.15">
      <c r="A431" s="26"/>
      <c r="XP431" s="25"/>
    </row>
    <row r="432" spans="1:640" ht="6" customHeight="1" x14ac:dyDescent="0.15">
      <c r="A432" s="26"/>
      <c r="XP432" s="25"/>
    </row>
    <row r="433" spans="1:640" ht="6" customHeight="1" x14ac:dyDescent="0.15">
      <c r="A433" s="26"/>
      <c r="XP433" s="25"/>
    </row>
    <row r="434" spans="1:640" ht="6" customHeight="1" x14ac:dyDescent="0.15">
      <c r="A434" s="26"/>
      <c r="XP434" s="25"/>
    </row>
    <row r="435" spans="1:640" ht="6" customHeight="1" x14ac:dyDescent="0.15">
      <c r="A435" s="26"/>
      <c r="XP435" s="25"/>
    </row>
    <row r="436" spans="1:640" ht="6" customHeight="1" x14ac:dyDescent="0.15">
      <c r="A436" s="26"/>
      <c r="XP436" s="25"/>
    </row>
    <row r="437" spans="1:640" ht="6" customHeight="1" x14ac:dyDescent="0.15">
      <c r="A437" s="26"/>
      <c r="XP437" s="25"/>
    </row>
    <row r="438" spans="1:640" ht="6" customHeight="1" x14ac:dyDescent="0.15">
      <c r="A438" s="26"/>
      <c r="XP438" s="25"/>
    </row>
    <row r="439" spans="1:640" ht="6" customHeight="1" x14ac:dyDescent="0.15">
      <c r="A439" s="26"/>
      <c r="XP439" s="25"/>
    </row>
    <row r="440" spans="1:640" ht="6" customHeight="1" x14ac:dyDescent="0.15">
      <c r="A440" s="26"/>
      <c r="XP440" s="25"/>
    </row>
    <row r="441" spans="1:640" ht="6" customHeight="1" x14ac:dyDescent="0.15">
      <c r="A441" s="26"/>
      <c r="XP441" s="25"/>
    </row>
    <row r="442" spans="1:640" ht="6" customHeight="1" x14ac:dyDescent="0.15">
      <c r="A442" s="26"/>
      <c r="XP442" s="25"/>
    </row>
    <row r="443" spans="1:640" ht="6" customHeight="1" x14ac:dyDescent="0.15">
      <c r="A443" s="26"/>
      <c r="XP443" s="25"/>
    </row>
    <row r="444" spans="1:640" ht="6" customHeight="1" x14ac:dyDescent="0.15">
      <c r="A444" s="26"/>
      <c r="XP444" s="25"/>
    </row>
    <row r="445" spans="1:640" ht="6" customHeight="1" x14ac:dyDescent="0.15">
      <c r="A445" s="26"/>
      <c r="XP445" s="25"/>
    </row>
    <row r="446" spans="1:640" ht="6" customHeight="1" x14ac:dyDescent="0.15">
      <c r="A446" s="26"/>
      <c r="XP446" s="25"/>
    </row>
    <row r="447" spans="1:640" ht="6" customHeight="1" x14ac:dyDescent="0.15">
      <c r="A447" s="26"/>
      <c r="XP447" s="25"/>
    </row>
    <row r="448" spans="1:640" ht="6" customHeight="1" x14ac:dyDescent="0.15">
      <c r="A448" s="26"/>
      <c r="XP448" s="25"/>
    </row>
    <row r="449" spans="1:640" ht="6" customHeight="1" x14ac:dyDescent="0.15">
      <c r="A449" s="26"/>
      <c r="XP449" s="25"/>
    </row>
    <row r="450" spans="1:640" ht="6" customHeight="1" x14ac:dyDescent="0.15">
      <c r="A450" s="26"/>
      <c r="XP450" s="25"/>
    </row>
    <row r="451" spans="1:640" ht="6" customHeight="1" x14ac:dyDescent="0.15">
      <c r="A451" s="26"/>
      <c r="XP451" s="25"/>
    </row>
    <row r="452" spans="1:640" ht="6" customHeight="1" x14ac:dyDescent="0.15">
      <c r="A452" s="26"/>
      <c r="XP452" s="25"/>
    </row>
    <row r="453" spans="1:640" ht="6" customHeight="1" x14ac:dyDescent="0.15">
      <c r="A453" s="26"/>
      <c r="XP453" s="25"/>
    </row>
    <row r="454" spans="1:640" ht="6" customHeight="1" x14ac:dyDescent="0.15">
      <c r="A454" s="26"/>
      <c r="XP454" s="25"/>
    </row>
    <row r="455" spans="1:640" ht="6" customHeight="1" x14ac:dyDescent="0.15">
      <c r="A455" s="26"/>
      <c r="XP455" s="25"/>
    </row>
    <row r="456" spans="1:640" ht="6" customHeight="1" x14ac:dyDescent="0.15">
      <c r="A456" s="26"/>
      <c r="XP456" s="25"/>
    </row>
    <row r="457" spans="1:640" ht="6" customHeight="1" x14ac:dyDescent="0.15">
      <c r="A457" s="26"/>
      <c r="XP457" s="25"/>
    </row>
    <row r="458" spans="1:640" ht="6" customHeight="1" x14ac:dyDescent="0.15">
      <c r="A458" s="26"/>
      <c r="XP458" s="25"/>
    </row>
    <row r="459" spans="1:640" ht="6" customHeight="1" x14ac:dyDescent="0.15">
      <c r="A459" s="26"/>
      <c r="XP459" s="25"/>
    </row>
    <row r="460" spans="1:640" ht="6" customHeight="1" x14ac:dyDescent="0.15">
      <c r="A460" s="26"/>
      <c r="XP460" s="25"/>
    </row>
    <row r="461" spans="1:640" ht="6" customHeight="1" x14ac:dyDescent="0.15">
      <c r="A461" s="26"/>
      <c r="XP461" s="25"/>
    </row>
    <row r="462" spans="1:640" ht="6" customHeight="1" x14ac:dyDescent="0.15">
      <c r="A462" s="26"/>
      <c r="XP462" s="25"/>
    </row>
    <row r="463" spans="1:640" ht="6" customHeight="1" x14ac:dyDescent="0.15">
      <c r="A463" s="26"/>
      <c r="XP463" s="25"/>
    </row>
    <row r="464" spans="1:640" ht="6" customHeight="1" x14ac:dyDescent="0.15">
      <c r="A464" s="26"/>
      <c r="XP464" s="25"/>
    </row>
    <row r="465" spans="1:640" ht="6" customHeight="1" x14ac:dyDescent="0.15">
      <c r="A465" s="26"/>
      <c r="XP465" s="25"/>
    </row>
    <row r="466" spans="1:640" ht="6" customHeight="1" x14ac:dyDescent="0.15">
      <c r="A466" s="26"/>
      <c r="XP466" s="25"/>
    </row>
    <row r="467" spans="1:640" ht="6" customHeight="1" x14ac:dyDescent="0.15">
      <c r="A467" s="26"/>
      <c r="XP467" s="25"/>
    </row>
    <row r="468" spans="1:640" ht="6" customHeight="1" x14ac:dyDescent="0.15">
      <c r="A468" s="26"/>
      <c r="XP468" s="25"/>
    </row>
    <row r="469" spans="1:640" ht="6" customHeight="1" x14ac:dyDescent="0.15">
      <c r="A469" s="26"/>
      <c r="XP469" s="25"/>
    </row>
    <row r="470" spans="1:640" ht="6" customHeight="1" x14ac:dyDescent="0.15">
      <c r="A470" s="26"/>
      <c r="XP470" s="25"/>
    </row>
    <row r="471" spans="1:640" ht="6" customHeight="1" x14ac:dyDescent="0.15">
      <c r="A471" s="26"/>
      <c r="XP471" s="25"/>
    </row>
    <row r="472" spans="1:640" ht="6" customHeight="1" x14ac:dyDescent="0.15">
      <c r="A472" s="26"/>
      <c r="XP472" s="25"/>
    </row>
    <row r="473" spans="1:640" ht="6" customHeight="1" x14ac:dyDescent="0.15">
      <c r="A473" s="26"/>
      <c r="XP473" s="25"/>
    </row>
    <row r="474" spans="1:640" ht="6" customHeight="1" x14ac:dyDescent="0.15">
      <c r="A474" s="26"/>
      <c r="XP474" s="25"/>
    </row>
    <row r="475" spans="1:640" ht="6" customHeight="1" x14ac:dyDescent="0.15">
      <c r="A475" s="26"/>
      <c r="XP475" s="25"/>
    </row>
    <row r="476" spans="1:640" ht="6" customHeight="1" x14ac:dyDescent="0.15">
      <c r="A476" s="26"/>
      <c r="XP476" s="25"/>
    </row>
    <row r="477" spans="1:640" ht="6" customHeight="1" x14ac:dyDescent="0.15">
      <c r="A477" s="26"/>
      <c r="XP477" s="25"/>
    </row>
    <row r="478" spans="1:640" ht="6" customHeight="1" x14ac:dyDescent="0.15">
      <c r="A478" s="26"/>
      <c r="XP478" s="25"/>
    </row>
    <row r="479" spans="1:640" ht="6" customHeight="1" x14ac:dyDescent="0.15">
      <c r="A479" s="26"/>
      <c r="XP479" s="25"/>
    </row>
    <row r="480" spans="1:640" ht="6" customHeight="1" thickBot="1" x14ac:dyDescent="0.2">
      <c r="A480" s="32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3"/>
      <c r="CA480" s="33"/>
      <c r="CB480" s="33"/>
      <c r="CC480" s="33"/>
      <c r="CD480" s="33"/>
      <c r="CE480" s="33"/>
      <c r="CF480" s="33"/>
      <c r="CG480" s="33"/>
      <c r="CH480" s="33"/>
      <c r="CI480" s="33"/>
      <c r="CJ480" s="33"/>
      <c r="CK480" s="33"/>
      <c r="CL480" s="33"/>
      <c r="CM480" s="33"/>
      <c r="CN480" s="33"/>
      <c r="CO480" s="33"/>
      <c r="CP480" s="33"/>
      <c r="CQ480" s="33"/>
      <c r="CR480" s="33"/>
      <c r="CS480" s="33"/>
      <c r="CT480" s="33"/>
      <c r="CU480" s="33"/>
      <c r="CV480" s="33"/>
      <c r="CW480" s="33"/>
      <c r="CX480" s="33"/>
      <c r="CY480" s="33"/>
      <c r="CZ480" s="33"/>
      <c r="DA480" s="33"/>
      <c r="DB480" s="33"/>
      <c r="DC480" s="33"/>
      <c r="DD480" s="33"/>
      <c r="DE480" s="33"/>
      <c r="DF480" s="33"/>
      <c r="DG480" s="33"/>
      <c r="DH480" s="33"/>
      <c r="DI480" s="33"/>
      <c r="DJ480" s="33"/>
      <c r="DK480" s="33"/>
      <c r="DL480" s="33"/>
      <c r="DM480" s="33"/>
      <c r="DN480" s="33"/>
      <c r="DO480" s="33"/>
      <c r="DP480" s="33"/>
      <c r="DQ480" s="33"/>
      <c r="DR480" s="33"/>
      <c r="DS480" s="33"/>
      <c r="DT480" s="33"/>
      <c r="DU480" s="33"/>
      <c r="DV480" s="33"/>
      <c r="DW480" s="33"/>
      <c r="DX480" s="33"/>
      <c r="DY480" s="33"/>
      <c r="DZ480" s="33"/>
      <c r="EA480" s="33"/>
      <c r="EB480" s="33"/>
      <c r="EC480" s="33"/>
      <c r="ED480" s="33"/>
      <c r="EE480" s="33"/>
      <c r="EF480" s="33"/>
      <c r="EG480" s="33"/>
      <c r="EH480" s="33"/>
      <c r="EI480" s="33"/>
      <c r="EJ480" s="33"/>
      <c r="EK480" s="33"/>
      <c r="EL480" s="33"/>
      <c r="EM480" s="33"/>
      <c r="EN480" s="33"/>
      <c r="EO480" s="33"/>
      <c r="EP480" s="33"/>
      <c r="EQ480" s="33"/>
      <c r="ER480" s="33"/>
      <c r="ES480" s="33"/>
      <c r="ET480" s="33"/>
      <c r="EU480" s="33"/>
      <c r="EV480" s="33"/>
      <c r="EW480" s="33"/>
      <c r="EX480" s="33"/>
      <c r="EY480" s="33"/>
      <c r="EZ480" s="33"/>
      <c r="FA480" s="33"/>
      <c r="FB480" s="33"/>
      <c r="FC480" s="33"/>
      <c r="FD480" s="33"/>
      <c r="FE480" s="33"/>
      <c r="FF480" s="33"/>
      <c r="FG480" s="33"/>
      <c r="FH480" s="33"/>
      <c r="FI480" s="33"/>
      <c r="FJ480" s="33"/>
      <c r="FK480" s="33"/>
      <c r="FL480" s="33"/>
      <c r="FM480" s="33"/>
      <c r="FN480" s="33"/>
      <c r="FO480" s="33"/>
      <c r="FP480" s="33"/>
      <c r="FQ480" s="33"/>
      <c r="FR480" s="33"/>
      <c r="FS480" s="33"/>
      <c r="FT480" s="33"/>
      <c r="FU480" s="33"/>
      <c r="FV480" s="33"/>
      <c r="FW480" s="33"/>
      <c r="FX480" s="33"/>
      <c r="FY480" s="33"/>
      <c r="FZ480" s="33"/>
      <c r="GA480" s="33"/>
      <c r="GB480" s="33"/>
      <c r="GC480" s="33"/>
      <c r="GD480" s="33"/>
      <c r="GE480" s="33"/>
      <c r="GF480" s="33"/>
      <c r="GG480" s="33"/>
      <c r="GH480" s="33"/>
      <c r="GI480" s="33"/>
      <c r="GJ480" s="33"/>
      <c r="GK480" s="33"/>
      <c r="GL480" s="33"/>
      <c r="GM480" s="33"/>
      <c r="GN480" s="33"/>
      <c r="GO480" s="33"/>
      <c r="GP480" s="33"/>
      <c r="GQ480" s="33"/>
      <c r="GR480" s="33"/>
      <c r="GS480" s="33"/>
      <c r="GT480" s="33"/>
      <c r="GU480" s="33"/>
      <c r="GV480" s="33"/>
      <c r="GW480" s="33"/>
      <c r="GX480" s="33"/>
      <c r="GY480" s="33"/>
      <c r="GZ480" s="33"/>
      <c r="HA480" s="33"/>
      <c r="HB480" s="33"/>
      <c r="HC480" s="33"/>
      <c r="HD480" s="33"/>
      <c r="HE480" s="33"/>
      <c r="HF480" s="33"/>
      <c r="HG480" s="33"/>
      <c r="HH480" s="33"/>
      <c r="HI480" s="33"/>
      <c r="HJ480" s="33"/>
      <c r="HK480" s="33"/>
      <c r="HL480" s="33"/>
      <c r="HM480" s="33"/>
      <c r="HN480" s="33"/>
      <c r="HO480" s="33"/>
      <c r="HP480" s="33"/>
      <c r="HQ480" s="33"/>
      <c r="HR480" s="33"/>
      <c r="HS480" s="33"/>
      <c r="HT480" s="33"/>
      <c r="HU480" s="33"/>
      <c r="HV480" s="33"/>
      <c r="HW480" s="33"/>
      <c r="HX480" s="33"/>
      <c r="HY480" s="33"/>
      <c r="HZ480" s="33"/>
      <c r="IA480" s="33"/>
      <c r="IB480" s="33"/>
      <c r="IC480" s="33"/>
      <c r="ID480" s="33"/>
      <c r="IE480" s="33"/>
      <c r="IF480" s="33"/>
      <c r="IG480" s="33"/>
      <c r="IH480" s="33"/>
      <c r="II480" s="33"/>
      <c r="IJ480" s="33"/>
      <c r="IK480" s="33"/>
      <c r="IL480" s="33"/>
      <c r="IM480" s="33"/>
      <c r="IN480" s="33"/>
      <c r="IO480" s="33"/>
      <c r="IP480" s="33"/>
      <c r="IQ480" s="33"/>
      <c r="IR480" s="33"/>
      <c r="IS480" s="33"/>
      <c r="IT480" s="33"/>
      <c r="IU480" s="33"/>
      <c r="IV480" s="33"/>
      <c r="IW480" s="33"/>
      <c r="IX480" s="33"/>
      <c r="IY480" s="33"/>
      <c r="IZ480" s="33"/>
      <c r="JA480" s="33"/>
      <c r="JB480" s="33"/>
      <c r="JC480" s="33"/>
      <c r="JD480" s="33"/>
      <c r="JE480" s="33"/>
      <c r="JF480" s="33"/>
      <c r="JG480" s="33"/>
      <c r="JH480" s="33"/>
      <c r="JI480" s="33"/>
      <c r="JJ480" s="33"/>
      <c r="JK480" s="33"/>
      <c r="JL480" s="33"/>
      <c r="JM480" s="33"/>
      <c r="JN480" s="33"/>
      <c r="JO480" s="33"/>
      <c r="JP480" s="33"/>
      <c r="JQ480" s="33"/>
      <c r="JR480" s="33"/>
      <c r="JS480" s="33"/>
      <c r="JT480" s="33"/>
      <c r="JU480" s="33"/>
      <c r="JV480" s="33"/>
      <c r="JW480" s="33"/>
      <c r="JX480" s="33"/>
      <c r="JY480" s="33"/>
      <c r="JZ480" s="33"/>
      <c r="KA480" s="33"/>
      <c r="KB480" s="33"/>
      <c r="KC480" s="33"/>
      <c r="KD480" s="33"/>
      <c r="KE480" s="33"/>
      <c r="KF480" s="33"/>
      <c r="KG480" s="33"/>
      <c r="KH480" s="33"/>
      <c r="KI480" s="33"/>
      <c r="KJ480" s="33"/>
      <c r="KK480" s="33"/>
      <c r="KL480" s="33"/>
      <c r="KM480" s="33"/>
      <c r="KN480" s="33"/>
      <c r="KO480" s="33"/>
      <c r="KP480" s="33"/>
      <c r="KQ480" s="33"/>
      <c r="KR480" s="33"/>
      <c r="KS480" s="33"/>
      <c r="KT480" s="33"/>
      <c r="KU480" s="33"/>
      <c r="KV480" s="33"/>
      <c r="KW480" s="33"/>
      <c r="KX480" s="33"/>
      <c r="KY480" s="33"/>
      <c r="KZ480" s="33"/>
      <c r="LA480" s="33"/>
      <c r="LB480" s="33"/>
      <c r="LC480" s="33"/>
      <c r="LD480" s="33"/>
      <c r="LE480" s="33"/>
      <c r="LF480" s="33"/>
      <c r="LG480" s="33"/>
      <c r="LH480" s="33"/>
      <c r="LI480" s="33"/>
      <c r="LJ480" s="33"/>
      <c r="LK480" s="33"/>
      <c r="LL480" s="33"/>
      <c r="LM480" s="33"/>
      <c r="LN480" s="33"/>
      <c r="LO480" s="33"/>
      <c r="LP480" s="33"/>
      <c r="LQ480" s="33"/>
      <c r="LR480" s="33"/>
      <c r="LS480" s="33"/>
      <c r="LT480" s="33"/>
      <c r="LU480" s="33"/>
      <c r="LV480" s="33"/>
      <c r="LW480" s="33"/>
      <c r="LX480" s="33"/>
      <c r="LY480" s="33"/>
      <c r="LZ480" s="33"/>
      <c r="MA480" s="33"/>
      <c r="MB480" s="33"/>
      <c r="MC480" s="33"/>
      <c r="MD480" s="33"/>
      <c r="ME480" s="33"/>
      <c r="MF480" s="33"/>
      <c r="MG480" s="33"/>
      <c r="MH480" s="33"/>
      <c r="MI480" s="33"/>
      <c r="MJ480" s="33"/>
      <c r="MK480" s="33"/>
      <c r="ML480" s="33"/>
      <c r="MM480" s="33"/>
      <c r="MN480" s="33"/>
      <c r="MO480" s="33"/>
      <c r="MP480" s="33"/>
      <c r="MQ480" s="33"/>
      <c r="MR480" s="33"/>
      <c r="MS480" s="33"/>
      <c r="MT480" s="33"/>
      <c r="MU480" s="33"/>
      <c r="MV480" s="33"/>
      <c r="MW480" s="33"/>
      <c r="MX480" s="33"/>
      <c r="MY480" s="33"/>
      <c r="MZ480" s="33"/>
      <c r="NA480" s="33"/>
      <c r="NB480" s="33"/>
      <c r="NC480" s="33"/>
      <c r="ND480" s="33"/>
      <c r="NE480" s="33"/>
      <c r="NF480" s="33"/>
      <c r="NG480" s="33"/>
      <c r="NH480" s="33"/>
      <c r="NI480" s="33"/>
      <c r="NJ480" s="33"/>
      <c r="NK480" s="33"/>
      <c r="NL480" s="33"/>
      <c r="NM480" s="33"/>
      <c r="NN480" s="33"/>
      <c r="NO480" s="33"/>
      <c r="NP480" s="33"/>
      <c r="NQ480" s="33"/>
      <c r="NR480" s="33"/>
      <c r="NS480" s="33"/>
      <c r="NT480" s="33"/>
      <c r="NU480" s="33"/>
      <c r="NV480" s="33"/>
      <c r="NW480" s="33"/>
      <c r="NX480" s="33"/>
      <c r="NY480" s="33"/>
      <c r="NZ480" s="33"/>
      <c r="OA480" s="33"/>
      <c r="OB480" s="33"/>
      <c r="OC480" s="33"/>
      <c r="OD480" s="33"/>
      <c r="OE480" s="33"/>
      <c r="OF480" s="33"/>
      <c r="OG480" s="33"/>
      <c r="OH480" s="33"/>
      <c r="OI480" s="33"/>
      <c r="OJ480" s="33"/>
      <c r="OK480" s="33"/>
      <c r="OL480" s="33"/>
      <c r="OM480" s="33"/>
      <c r="ON480" s="33"/>
      <c r="OO480" s="33"/>
      <c r="OP480" s="33"/>
      <c r="OQ480" s="33"/>
      <c r="OR480" s="33"/>
      <c r="OS480" s="33"/>
      <c r="OT480" s="33"/>
      <c r="OU480" s="33"/>
      <c r="OV480" s="33"/>
      <c r="OW480" s="33"/>
      <c r="OX480" s="33"/>
      <c r="OY480" s="33"/>
      <c r="OZ480" s="33"/>
      <c r="PA480" s="33"/>
      <c r="PB480" s="33"/>
      <c r="PC480" s="33"/>
      <c r="PD480" s="33"/>
      <c r="PE480" s="33"/>
      <c r="PF480" s="33"/>
      <c r="PG480" s="33"/>
      <c r="PH480" s="33"/>
      <c r="PI480" s="33"/>
      <c r="PJ480" s="33"/>
      <c r="PK480" s="33"/>
      <c r="PL480" s="33"/>
      <c r="PM480" s="33"/>
      <c r="PN480" s="33"/>
      <c r="PO480" s="33"/>
      <c r="PP480" s="33"/>
      <c r="PQ480" s="33"/>
      <c r="PR480" s="33"/>
      <c r="PS480" s="33"/>
      <c r="PT480" s="33"/>
      <c r="PU480" s="33"/>
      <c r="PV480" s="33"/>
      <c r="PW480" s="33"/>
      <c r="PX480" s="33"/>
      <c r="PY480" s="33"/>
      <c r="PZ480" s="33"/>
      <c r="QA480" s="33"/>
      <c r="QB480" s="33"/>
      <c r="QC480" s="33"/>
      <c r="QD480" s="33"/>
      <c r="QE480" s="33"/>
      <c r="QF480" s="33"/>
      <c r="QG480" s="33"/>
      <c r="QH480" s="33"/>
      <c r="QI480" s="33"/>
      <c r="QJ480" s="33"/>
      <c r="QK480" s="33"/>
      <c r="QL480" s="33"/>
      <c r="QM480" s="33"/>
      <c r="QN480" s="33"/>
      <c r="QO480" s="33"/>
      <c r="QP480" s="33"/>
      <c r="QQ480" s="33"/>
      <c r="QR480" s="33"/>
      <c r="QS480" s="33"/>
      <c r="QT480" s="33"/>
      <c r="QU480" s="33"/>
      <c r="QV480" s="33"/>
      <c r="QW480" s="33"/>
      <c r="QX480" s="33"/>
      <c r="QY480" s="33"/>
      <c r="QZ480" s="33"/>
      <c r="RA480" s="33"/>
      <c r="RB480" s="33"/>
      <c r="RC480" s="33"/>
      <c r="RD480" s="33"/>
      <c r="RE480" s="33"/>
      <c r="RF480" s="33"/>
      <c r="RG480" s="33"/>
      <c r="RH480" s="33"/>
      <c r="RI480" s="33"/>
      <c r="RJ480" s="33"/>
      <c r="RK480" s="33"/>
      <c r="RL480" s="33"/>
      <c r="RM480" s="33"/>
      <c r="RN480" s="33"/>
      <c r="RO480" s="33"/>
      <c r="RP480" s="33"/>
      <c r="RQ480" s="33"/>
      <c r="RR480" s="33"/>
      <c r="RS480" s="33"/>
      <c r="RT480" s="33"/>
      <c r="RU480" s="33"/>
      <c r="RV480" s="33"/>
      <c r="RW480" s="33"/>
      <c r="RX480" s="33"/>
      <c r="RY480" s="33"/>
      <c r="RZ480" s="33"/>
      <c r="SA480" s="33"/>
      <c r="SB480" s="33"/>
      <c r="SC480" s="33"/>
      <c r="SD480" s="33"/>
      <c r="SE480" s="33"/>
      <c r="SF480" s="33"/>
      <c r="SG480" s="33"/>
      <c r="SH480" s="33"/>
      <c r="SI480" s="33"/>
      <c r="SJ480" s="33"/>
      <c r="SK480" s="33"/>
      <c r="SL480" s="33"/>
      <c r="SM480" s="33"/>
      <c r="SN480" s="33"/>
      <c r="SO480" s="33"/>
      <c r="SP480" s="33"/>
      <c r="SQ480" s="33"/>
      <c r="SR480" s="33"/>
      <c r="SS480" s="33"/>
      <c r="ST480" s="33"/>
      <c r="SU480" s="33"/>
      <c r="SV480" s="33"/>
      <c r="SW480" s="33"/>
      <c r="SX480" s="33"/>
      <c r="SY480" s="33"/>
      <c r="SZ480" s="33"/>
      <c r="TA480" s="33"/>
      <c r="TB480" s="33"/>
      <c r="TC480" s="33"/>
      <c r="TD480" s="33"/>
      <c r="TE480" s="33"/>
      <c r="TF480" s="33"/>
      <c r="TG480" s="33"/>
      <c r="TH480" s="33"/>
      <c r="TI480" s="33"/>
      <c r="TJ480" s="33"/>
      <c r="TK480" s="33"/>
      <c r="TL480" s="33"/>
      <c r="TM480" s="33"/>
      <c r="TN480" s="33"/>
      <c r="TO480" s="33"/>
      <c r="TP480" s="33"/>
      <c r="TQ480" s="33"/>
      <c r="TR480" s="33"/>
      <c r="TS480" s="33"/>
      <c r="TT480" s="33"/>
      <c r="TU480" s="33"/>
      <c r="TV480" s="33"/>
      <c r="TW480" s="33"/>
      <c r="TX480" s="33"/>
      <c r="TY480" s="33"/>
      <c r="TZ480" s="33"/>
      <c r="UA480" s="33"/>
      <c r="UB480" s="33"/>
      <c r="UC480" s="33"/>
      <c r="UD480" s="33"/>
      <c r="UE480" s="33"/>
      <c r="UF480" s="33"/>
      <c r="UG480" s="33"/>
      <c r="UH480" s="33"/>
      <c r="UI480" s="33"/>
      <c r="UJ480" s="33"/>
      <c r="UK480" s="33"/>
      <c r="UL480" s="33"/>
      <c r="UM480" s="33"/>
      <c r="UN480" s="33"/>
      <c r="UO480" s="33"/>
      <c r="UP480" s="33"/>
      <c r="UQ480" s="33"/>
      <c r="UR480" s="33"/>
      <c r="US480" s="33"/>
      <c r="UT480" s="33"/>
      <c r="UU480" s="33"/>
      <c r="UV480" s="33"/>
      <c r="UW480" s="33"/>
      <c r="UX480" s="33"/>
      <c r="UY480" s="33"/>
      <c r="UZ480" s="33"/>
      <c r="VA480" s="33"/>
      <c r="VB480" s="33"/>
      <c r="VC480" s="33"/>
      <c r="VD480" s="33"/>
      <c r="VE480" s="33"/>
      <c r="VF480" s="33"/>
      <c r="VG480" s="33"/>
      <c r="VH480" s="33"/>
      <c r="VI480" s="33"/>
      <c r="VJ480" s="33"/>
      <c r="VK480" s="33"/>
      <c r="VL480" s="33"/>
      <c r="VM480" s="33"/>
      <c r="VN480" s="33"/>
      <c r="VO480" s="33"/>
      <c r="VP480" s="33"/>
      <c r="VQ480" s="33"/>
      <c r="VR480" s="33"/>
      <c r="VS480" s="33"/>
      <c r="VT480" s="33"/>
      <c r="VU480" s="33"/>
      <c r="VV480" s="33"/>
      <c r="VW480" s="33"/>
      <c r="VX480" s="33"/>
      <c r="VY480" s="33"/>
      <c r="VZ480" s="33"/>
      <c r="WA480" s="33"/>
      <c r="WB480" s="33"/>
      <c r="WC480" s="33"/>
      <c r="WD480" s="33"/>
      <c r="WE480" s="33"/>
      <c r="WF480" s="33"/>
      <c r="WG480" s="33"/>
      <c r="WH480" s="33"/>
      <c r="WI480" s="33"/>
      <c r="WJ480" s="33"/>
      <c r="WK480" s="33"/>
      <c r="WL480" s="33"/>
      <c r="WM480" s="33"/>
      <c r="WN480" s="33"/>
      <c r="WO480" s="33"/>
      <c r="WP480" s="33"/>
      <c r="WQ480" s="33"/>
      <c r="WR480" s="33"/>
      <c r="WS480" s="33"/>
      <c r="WT480" s="33"/>
      <c r="WU480" s="33"/>
      <c r="WV480" s="33"/>
      <c r="WW480" s="33"/>
      <c r="WX480" s="33"/>
      <c r="WY480" s="33"/>
      <c r="WZ480" s="33"/>
      <c r="XA480" s="33"/>
      <c r="XB480" s="33"/>
      <c r="XC480" s="33"/>
      <c r="XD480" s="33"/>
      <c r="XE480" s="33"/>
      <c r="XF480" s="33"/>
      <c r="XG480" s="33"/>
      <c r="XH480" s="33"/>
      <c r="XI480" s="33"/>
      <c r="XJ480" s="33"/>
      <c r="XK480" s="33"/>
      <c r="XL480" s="33"/>
      <c r="XM480" s="33"/>
      <c r="XN480" s="33"/>
      <c r="XO480" s="33"/>
      <c r="XP480" s="3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290BB-9363-49C7-8C9B-DEA6DD163270}">
  <dimension ref="A1:T171"/>
  <sheetViews>
    <sheetView tabSelected="1" zoomScale="82" zoomScaleNormal="160" workbookViewId="0">
      <pane ySplit="1" topLeftCell="A83" activePane="bottomLeft" state="frozen"/>
      <selection pane="bottomLeft" activeCell="S106" sqref="S106"/>
    </sheetView>
  </sheetViews>
  <sheetFormatPr defaultRowHeight="14.4" x14ac:dyDescent="0.3"/>
  <cols>
    <col min="1" max="1" width="4.109375" bestFit="1" customWidth="1"/>
    <col min="2" max="2" width="15.109375" bestFit="1" customWidth="1"/>
    <col min="4" max="4" width="4.109375" customWidth="1"/>
    <col min="5" max="5" width="4.33203125" bestFit="1" customWidth="1"/>
    <col min="6" max="7" width="5" bestFit="1" customWidth="1"/>
    <col min="8" max="8" width="5" customWidth="1"/>
    <col min="14" max="14" width="4.88671875" bestFit="1" customWidth="1"/>
  </cols>
  <sheetData>
    <row r="1" spans="1:20" x14ac:dyDescent="0.3">
      <c r="A1" t="s">
        <v>70</v>
      </c>
      <c r="B1" t="s">
        <v>18</v>
      </c>
      <c r="C1" t="s">
        <v>37</v>
      </c>
      <c r="D1" t="s">
        <v>30</v>
      </c>
      <c r="E1" t="s">
        <v>31</v>
      </c>
      <c r="F1" t="s">
        <v>32</v>
      </c>
      <c r="G1" t="s">
        <v>33</v>
      </c>
      <c r="I1" t="s">
        <v>38</v>
      </c>
      <c r="J1" t="s">
        <v>39</v>
      </c>
      <c r="K1" t="s">
        <v>35</v>
      </c>
      <c r="L1" t="s">
        <v>172</v>
      </c>
      <c r="N1" t="s">
        <v>175</v>
      </c>
      <c r="O1" t="s">
        <v>173</v>
      </c>
      <c r="P1" t="s">
        <v>174</v>
      </c>
      <c r="Q1" t="s">
        <v>176</v>
      </c>
      <c r="R1" t="s">
        <v>177</v>
      </c>
      <c r="T1" t="s">
        <v>34</v>
      </c>
    </row>
    <row r="2" spans="1:20" x14ac:dyDescent="0.3">
      <c r="A2">
        <v>0</v>
      </c>
      <c r="B2" t="s">
        <v>19</v>
      </c>
      <c r="C2" cm="1">
        <f t="array" aca="1" ref="C2" ca="1">COLUMN(INDIRECT(D2 &amp; "1"))</f>
        <v>128</v>
      </c>
      <c r="D2" t="s">
        <v>36</v>
      </c>
      <c r="E2">
        <v>348</v>
      </c>
      <c r="F2">
        <v>12</v>
      </c>
      <c r="G2">
        <v>12</v>
      </c>
      <c r="I2">
        <v>1</v>
      </c>
      <c r="J2">
        <f>I2+G2-1</f>
        <v>12</v>
      </c>
      <c r="K2">
        <f>F2*G2</f>
        <v>144</v>
      </c>
      <c r="L2">
        <v>0</v>
      </c>
      <c r="N2" s="37">
        <v>0</v>
      </c>
      <c r="O2">
        <f t="shared" ref="O2:O33" si="0">IF(NOT($N2), F2, 0)</f>
        <v>12</v>
      </c>
      <c r="P2">
        <f t="shared" ref="P2:P33" si="1">IF(NOT($N2), G2, 0)</f>
        <v>12</v>
      </c>
      <c r="Q2">
        <f t="shared" ref="Q2:Q33" si="2">O2*P2</f>
        <v>144</v>
      </c>
      <c r="R2">
        <v>0</v>
      </c>
      <c r="T2">
        <f>IF(ISBLANK(S2),R2,S2)</f>
        <v>0</v>
      </c>
    </row>
    <row r="3" spans="1:20" x14ac:dyDescent="0.3">
      <c r="A3">
        <v>1</v>
      </c>
      <c r="B3" t="s">
        <v>169</v>
      </c>
      <c r="C3" cm="1">
        <f t="array" aca="1" ref="C3" ca="1">COLUMN(INDIRECT(D3 &amp; "1"))</f>
        <v>128</v>
      </c>
      <c r="D3" t="s">
        <v>36</v>
      </c>
      <c r="E3">
        <v>363</v>
      </c>
      <c r="F3">
        <v>12</v>
      </c>
      <c r="G3">
        <v>12</v>
      </c>
      <c r="I3">
        <f t="shared" ref="I3:I35" si="3">J2+1</f>
        <v>13</v>
      </c>
      <c r="J3">
        <f>I3+P3-1</f>
        <v>24</v>
      </c>
      <c r="K3">
        <f t="shared" ref="K3:K67" si="4">F3*G3</f>
        <v>144</v>
      </c>
      <c r="L3">
        <f>IF(NOT(N3), L2+K2, L2)</f>
        <v>144</v>
      </c>
      <c r="N3" s="37">
        <v>0</v>
      </c>
      <c r="O3">
        <f t="shared" si="0"/>
        <v>12</v>
      </c>
      <c r="P3">
        <f t="shared" si="1"/>
        <v>12</v>
      </c>
      <c r="Q3">
        <f t="shared" si="2"/>
        <v>144</v>
      </c>
      <c r="R3">
        <f>R2+Q2</f>
        <v>144</v>
      </c>
      <c r="T3">
        <f>IF(ISBLANK(S3),R3,S3)</f>
        <v>144</v>
      </c>
    </row>
    <row r="4" spans="1:20" x14ac:dyDescent="0.3">
      <c r="A4">
        <v>2</v>
      </c>
      <c r="B4" t="s">
        <v>170</v>
      </c>
      <c r="C4" cm="1">
        <f t="array" aca="1" ref="C4" ca="1">COLUMN(INDIRECT(D4 &amp; "1"))</f>
        <v>128</v>
      </c>
      <c r="D4" t="s">
        <v>36</v>
      </c>
      <c r="E4">
        <v>378</v>
      </c>
      <c r="F4">
        <v>12</v>
      </c>
      <c r="G4">
        <v>12</v>
      </c>
      <c r="I4">
        <f t="shared" si="3"/>
        <v>25</v>
      </c>
      <c r="J4">
        <f>I4+P4-1</f>
        <v>36</v>
      </c>
      <c r="K4">
        <f t="shared" si="4"/>
        <v>144</v>
      </c>
      <c r="L4">
        <f>IF(NOT(N4), L3+K3, L3)</f>
        <v>288</v>
      </c>
      <c r="N4" s="37">
        <v>0</v>
      </c>
      <c r="O4">
        <f t="shared" si="0"/>
        <v>12</v>
      </c>
      <c r="P4">
        <f t="shared" si="1"/>
        <v>12</v>
      </c>
      <c r="Q4">
        <f t="shared" si="2"/>
        <v>144</v>
      </c>
      <c r="R4">
        <f>R3+Q3</f>
        <v>288</v>
      </c>
      <c r="T4">
        <f>IF(ISBLANK(S4),R4,S4)</f>
        <v>288</v>
      </c>
    </row>
    <row r="5" spans="1:20" x14ac:dyDescent="0.3">
      <c r="A5">
        <v>3</v>
      </c>
      <c r="B5" t="s">
        <v>182</v>
      </c>
      <c r="C5">
        <v>289</v>
      </c>
      <c r="D5" t="s">
        <v>183</v>
      </c>
      <c r="E5">
        <v>330</v>
      </c>
      <c r="F5">
        <v>15</v>
      </c>
      <c r="G5">
        <v>15</v>
      </c>
      <c r="I5">
        <f t="shared" si="3"/>
        <v>37</v>
      </c>
      <c r="J5">
        <f t="shared" ref="J5:J6" si="5">I5+P5-1</f>
        <v>51</v>
      </c>
      <c r="K5">
        <f t="shared" si="4"/>
        <v>225</v>
      </c>
      <c r="L5">
        <f t="shared" ref="L5:L6" si="6">IF(NOT(N5), L4+K4, L4)</f>
        <v>432</v>
      </c>
      <c r="N5" s="37">
        <v>0</v>
      </c>
      <c r="O5">
        <f t="shared" si="0"/>
        <v>15</v>
      </c>
      <c r="P5">
        <f t="shared" si="1"/>
        <v>15</v>
      </c>
      <c r="Q5">
        <f t="shared" si="2"/>
        <v>225</v>
      </c>
      <c r="R5">
        <f t="shared" ref="R5:R6" si="7">R4+Q4</f>
        <v>432</v>
      </c>
      <c r="T5">
        <f t="shared" ref="T5:T6" si="8">IF(ISBLANK(S5),R5,S5)</f>
        <v>432</v>
      </c>
    </row>
    <row r="6" spans="1:20" x14ac:dyDescent="0.3">
      <c r="A6">
        <v>4</v>
      </c>
      <c r="B6" t="s">
        <v>20</v>
      </c>
      <c r="C6" cm="1">
        <f t="array" aca="1" ref="C6" ca="1">COLUMN(INDIRECT(D6 &amp; "1"))</f>
        <v>33</v>
      </c>
      <c r="D6" t="s">
        <v>40</v>
      </c>
      <c r="E6">
        <v>330</v>
      </c>
      <c r="F6">
        <v>81</v>
      </c>
      <c r="G6">
        <v>12</v>
      </c>
      <c r="I6">
        <f t="shared" si="3"/>
        <v>52</v>
      </c>
      <c r="J6">
        <f t="shared" si="5"/>
        <v>63</v>
      </c>
      <c r="K6">
        <f t="shared" si="4"/>
        <v>972</v>
      </c>
      <c r="L6">
        <f t="shared" si="6"/>
        <v>657</v>
      </c>
      <c r="N6" s="37">
        <v>0</v>
      </c>
      <c r="O6">
        <f t="shared" si="0"/>
        <v>81</v>
      </c>
      <c r="P6">
        <f t="shared" si="1"/>
        <v>12</v>
      </c>
      <c r="Q6">
        <f t="shared" si="2"/>
        <v>972</v>
      </c>
      <c r="R6">
        <f t="shared" si="7"/>
        <v>657</v>
      </c>
      <c r="T6">
        <f t="shared" si="8"/>
        <v>657</v>
      </c>
    </row>
    <row r="7" spans="1:20" x14ac:dyDescent="0.3">
      <c r="A7">
        <v>5</v>
      </c>
      <c r="B7" t="s">
        <v>21</v>
      </c>
      <c r="C7" cm="1">
        <f t="array" aca="1" ref="C7" ca="1">COLUMN(INDIRECT(D7 &amp; "1"))</f>
        <v>39</v>
      </c>
      <c r="D7" t="s">
        <v>41</v>
      </c>
      <c r="E7">
        <v>401</v>
      </c>
      <c r="F7">
        <v>36</v>
      </c>
      <c r="G7">
        <v>29</v>
      </c>
      <c r="I7">
        <f t="shared" si="3"/>
        <v>64</v>
      </c>
      <c r="J7">
        <f t="shared" ref="J7:J38" si="9">I7+P7-1</f>
        <v>92</v>
      </c>
      <c r="K7">
        <f t="shared" si="4"/>
        <v>1044</v>
      </c>
      <c r="L7">
        <f t="shared" ref="L7:L16" si="10">IF(NOT(N7), L6+K6, L6)</f>
        <v>1629</v>
      </c>
      <c r="N7" s="37">
        <v>0</v>
      </c>
      <c r="O7">
        <f t="shared" si="0"/>
        <v>36</v>
      </c>
      <c r="P7">
        <f t="shared" si="1"/>
        <v>29</v>
      </c>
      <c r="Q7">
        <f t="shared" si="2"/>
        <v>1044</v>
      </c>
      <c r="R7">
        <f t="shared" ref="R7:R38" si="11">R6+Q6</f>
        <v>1629</v>
      </c>
      <c r="T7">
        <f t="shared" ref="T7:T38" si="12">IF(ISBLANK(S7),R7,S7)</f>
        <v>1629</v>
      </c>
    </row>
    <row r="8" spans="1:20" x14ac:dyDescent="0.3">
      <c r="A8">
        <v>6</v>
      </c>
      <c r="B8" t="s">
        <v>22</v>
      </c>
      <c r="C8" cm="1">
        <f t="array" aca="1" ref="C8" ca="1">COLUMN(INDIRECT(D8 &amp; "1"))</f>
        <v>40</v>
      </c>
      <c r="D8" t="s">
        <v>71</v>
      </c>
      <c r="E8">
        <v>446</v>
      </c>
      <c r="F8">
        <v>34</v>
      </c>
      <c r="G8">
        <v>12</v>
      </c>
      <c r="I8">
        <f t="shared" si="3"/>
        <v>93</v>
      </c>
      <c r="J8">
        <f t="shared" si="9"/>
        <v>104</v>
      </c>
      <c r="K8">
        <f t="shared" si="4"/>
        <v>408</v>
      </c>
      <c r="L8">
        <f t="shared" si="10"/>
        <v>2673</v>
      </c>
      <c r="N8" s="37">
        <v>0</v>
      </c>
      <c r="O8">
        <f t="shared" si="0"/>
        <v>34</v>
      </c>
      <c r="P8">
        <f t="shared" si="1"/>
        <v>12</v>
      </c>
      <c r="Q8">
        <f t="shared" si="2"/>
        <v>408</v>
      </c>
      <c r="R8">
        <f t="shared" si="11"/>
        <v>2673</v>
      </c>
      <c r="T8">
        <f t="shared" si="12"/>
        <v>2673</v>
      </c>
    </row>
    <row r="9" spans="1:20" x14ac:dyDescent="0.3">
      <c r="A9">
        <v>7</v>
      </c>
      <c r="B9" t="s">
        <v>23</v>
      </c>
      <c r="C9" cm="1">
        <f t="array" aca="1" ref="C9" ca="1">COLUMN(INDIRECT(D9 &amp; "1"))</f>
        <v>124</v>
      </c>
      <c r="D9" t="s">
        <v>42</v>
      </c>
      <c r="E9">
        <v>410</v>
      </c>
      <c r="F9">
        <v>112</v>
      </c>
      <c r="G9">
        <v>18</v>
      </c>
      <c r="I9">
        <f t="shared" si="3"/>
        <v>105</v>
      </c>
      <c r="J9">
        <f t="shared" si="9"/>
        <v>122</v>
      </c>
      <c r="K9">
        <f t="shared" si="4"/>
        <v>2016</v>
      </c>
      <c r="L9">
        <f t="shared" si="10"/>
        <v>3081</v>
      </c>
      <c r="N9" s="37">
        <v>0</v>
      </c>
      <c r="O9">
        <f t="shared" si="0"/>
        <v>112</v>
      </c>
      <c r="P9">
        <f t="shared" si="1"/>
        <v>18</v>
      </c>
      <c r="Q9">
        <f t="shared" si="2"/>
        <v>2016</v>
      </c>
      <c r="R9">
        <f t="shared" si="11"/>
        <v>3081</v>
      </c>
      <c r="T9">
        <f t="shared" si="12"/>
        <v>3081</v>
      </c>
    </row>
    <row r="10" spans="1:20" x14ac:dyDescent="0.3">
      <c r="A10">
        <v>8</v>
      </c>
      <c r="B10" t="s">
        <v>44</v>
      </c>
      <c r="C10" cm="1">
        <f t="array" aca="1" ref="C10" ca="1">COLUMN(INDIRECT(D10 &amp; "1"))</f>
        <v>80</v>
      </c>
      <c r="D10" t="s">
        <v>45</v>
      </c>
      <c r="E10">
        <v>448</v>
      </c>
      <c r="F10">
        <v>25</v>
      </c>
      <c r="G10">
        <v>8</v>
      </c>
      <c r="I10">
        <f t="shared" si="3"/>
        <v>123</v>
      </c>
      <c r="J10">
        <f t="shared" si="9"/>
        <v>130</v>
      </c>
      <c r="K10">
        <f t="shared" si="4"/>
        <v>200</v>
      </c>
      <c r="L10">
        <f t="shared" si="10"/>
        <v>5097</v>
      </c>
      <c r="N10" s="37">
        <v>0</v>
      </c>
      <c r="O10">
        <f t="shared" si="0"/>
        <v>25</v>
      </c>
      <c r="P10">
        <f t="shared" si="1"/>
        <v>8</v>
      </c>
      <c r="Q10">
        <f t="shared" si="2"/>
        <v>200</v>
      </c>
      <c r="R10">
        <f t="shared" si="11"/>
        <v>5097</v>
      </c>
      <c r="T10">
        <f t="shared" si="12"/>
        <v>5097</v>
      </c>
    </row>
    <row r="11" spans="1:20" x14ac:dyDescent="0.3">
      <c r="A11">
        <v>9</v>
      </c>
      <c r="B11" t="s">
        <v>57</v>
      </c>
      <c r="C11" cm="1">
        <f t="array" aca="1" ref="C11" ca="1">COLUMN(INDIRECT(D11 &amp; "1"))</f>
        <v>253</v>
      </c>
      <c r="D11" t="s">
        <v>60</v>
      </c>
      <c r="E11">
        <v>448</v>
      </c>
      <c r="F11">
        <v>25</v>
      </c>
      <c r="G11">
        <v>8</v>
      </c>
      <c r="I11">
        <f t="shared" si="3"/>
        <v>131</v>
      </c>
      <c r="J11">
        <f t="shared" si="9"/>
        <v>130</v>
      </c>
      <c r="K11">
        <f t="shared" si="4"/>
        <v>200</v>
      </c>
      <c r="L11">
        <f t="shared" si="10"/>
        <v>5097</v>
      </c>
      <c r="N11" s="37">
        <v>1</v>
      </c>
      <c r="O11">
        <f t="shared" si="0"/>
        <v>0</v>
      </c>
      <c r="P11">
        <f t="shared" si="1"/>
        <v>0</v>
      </c>
      <c r="Q11">
        <f t="shared" si="2"/>
        <v>0</v>
      </c>
      <c r="R11">
        <f t="shared" si="11"/>
        <v>5297</v>
      </c>
      <c r="S11">
        <f>R10</f>
        <v>5097</v>
      </c>
      <c r="T11">
        <f t="shared" si="12"/>
        <v>5097</v>
      </c>
    </row>
    <row r="12" spans="1:20" x14ac:dyDescent="0.3">
      <c r="A12">
        <v>10</v>
      </c>
      <c r="B12" t="s">
        <v>58</v>
      </c>
      <c r="C12" cm="1">
        <f t="array" aca="1" ref="C12" ca="1">COLUMN(INDIRECT(D12 &amp; "1"))</f>
        <v>350</v>
      </c>
      <c r="D12" t="s">
        <v>61</v>
      </c>
      <c r="E12">
        <v>448</v>
      </c>
      <c r="F12">
        <v>25</v>
      </c>
      <c r="G12">
        <v>8</v>
      </c>
      <c r="I12">
        <f t="shared" si="3"/>
        <v>131</v>
      </c>
      <c r="J12">
        <f t="shared" si="9"/>
        <v>130</v>
      </c>
      <c r="K12">
        <f t="shared" si="4"/>
        <v>200</v>
      </c>
      <c r="L12">
        <f t="shared" si="10"/>
        <v>5097</v>
      </c>
      <c r="N12" s="37">
        <v>1</v>
      </c>
      <c r="O12">
        <f t="shared" si="0"/>
        <v>0</v>
      </c>
      <c r="P12">
        <f t="shared" si="1"/>
        <v>0</v>
      </c>
      <c r="Q12">
        <f t="shared" si="2"/>
        <v>0</v>
      </c>
      <c r="R12">
        <f t="shared" si="11"/>
        <v>5297</v>
      </c>
      <c r="S12">
        <f>R10</f>
        <v>5097</v>
      </c>
      <c r="T12">
        <f t="shared" si="12"/>
        <v>5097</v>
      </c>
    </row>
    <row r="13" spans="1:20" x14ac:dyDescent="0.3">
      <c r="A13">
        <v>11</v>
      </c>
      <c r="B13" t="s">
        <v>59</v>
      </c>
      <c r="C13" cm="1">
        <f t="array" aca="1" ref="C13" ca="1">COLUMN(INDIRECT(D13 &amp; "1"))</f>
        <v>539</v>
      </c>
      <c r="D13" t="s">
        <v>62</v>
      </c>
      <c r="E13">
        <v>448</v>
      </c>
      <c r="F13">
        <v>25</v>
      </c>
      <c r="G13">
        <v>8</v>
      </c>
      <c r="I13">
        <f t="shared" si="3"/>
        <v>131</v>
      </c>
      <c r="J13">
        <f t="shared" si="9"/>
        <v>130</v>
      </c>
      <c r="K13">
        <f t="shared" si="4"/>
        <v>200</v>
      </c>
      <c r="L13">
        <f t="shared" si="10"/>
        <v>5097</v>
      </c>
      <c r="N13" s="37">
        <v>1</v>
      </c>
      <c r="O13">
        <f t="shared" si="0"/>
        <v>0</v>
      </c>
      <c r="P13">
        <f t="shared" si="1"/>
        <v>0</v>
      </c>
      <c r="Q13">
        <f t="shared" si="2"/>
        <v>0</v>
      </c>
      <c r="R13">
        <f t="shared" si="11"/>
        <v>5297</v>
      </c>
      <c r="S13">
        <f>R10</f>
        <v>5097</v>
      </c>
      <c r="T13">
        <f t="shared" si="12"/>
        <v>5097</v>
      </c>
    </row>
    <row r="14" spans="1:20" x14ac:dyDescent="0.3">
      <c r="A14">
        <v>12</v>
      </c>
      <c r="B14" t="s">
        <v>54</v>
      </c>
      <c r="C14" cm="1">
        <f t="array" aca="1" ref="C14" ca="1">COLUMN(INDIRECT(D14 &amp; "1"))</f>
        <v>106</v>
      </c>
      <c r="D14" t="s">
        <v>53</v>
      </c>
      <c r="E14">
        <v>451</v>
      </c>
      <c r="F14">
        <v>146</v>
      </c>
      <c r="G14">
        <v>2</v>
      </c>
      <c r="I14">
        <f t="shared" si="3"/>
        <v>131</v>
      </c>
      <c r="J14">
        <f t="shared" si="9"/>
        <v>130</v>
      </c>
      <c r="K14">
        <f t="shared" si="4"/>
        <v>292</v>
      </c>
      <c r="L14">
        <f t="shared" si="10"/>
        <v>5097</v>
      </c>
      <c r="N14" s="37">
        <v>1</v>
      </c>
      <c r="O14">
        <f t="shared" si="0"/>
        <v>0</v>
      </c>
      <c r="P14">
        <f t="shared" si="1"/>
        <v>0</v>
      </c>
      <c r="Q14">
        <f t="shared" si="2"/>
        <v>0</v>
      </c>
      <c r="R14">
        <f t="shared" si="11"/>
        <v>5297</v>
      </c>
      <c r="S14">
        <f>R15</f>
        <v>5297</v>
      </c>
      <c r="T14">
        <f t="shared" si="12"/>
        <v>5297</v>
      </c>
    </row>
    <row r="15" spans="1:20" x14ac:dyDescent="0.3">
      <c r="A15">
        <v>13</v>
      </c>
      <c r="B15" t="s">
        <v>55</v>
      </c>
      <c r="C15" cm="1">
        <f t="array" aca="1" ref="C15" ca="1">COLUMN(INDIRECT(D15 &amp; "1"))</f>
        <v>376</v>
      </c>
      <c r="D15" t="s">
        <v>56</v>
      </c>
      <c r="E15">
        <v>451</v>
      </c>
      <c r="F15">
        <v>162</v>
      </c>
      <c r="G15">
        <v>2</v>
      </c>
      <c r="I15">
        <f t="shared" si="3"/>
        <v>131</v>
      </c>
      <c r="J15">
        <f t="shared" si="9"/>
        <v>132</v>
      </c>
      <c r="K15">
        <f t="shared" si="4"/>
        <v>324</v>
      </c>
      <c r="L15">
        <f t="shared" si="10"/>
        <v>5389</v>
      </c>
      <c r="N15" s="37">
        <v>0</v>
      </c>
      <c r="O15">
        <f t="shared" si="0"/>
        <v>162</v>
      </c>
      <c r="P15">
        <f t="shared" si="1"/>
        <v>2</v>
      </c>
      <c r="Q15">
        <f t="shared" si="2"/>
        <v>324</v>
      </c>
      <c r="R15">
        <f t="shared" si="11"/>
        <v>5297</v>
      </c>
      <c r="T15">
        <f t="shared" si="12"/>
        <v>5297</v>
      </c>
    </row>
    <row r="16" spans="1:20" x14ac:dyDescent="0.3">
      <c r="A16">
        <v>14</v>
      </c>
      <c r="B16" t="s">
        <v>69</v>
      </c>
      <c r="C16" cm="1">
        <f t="array" aca="1" ref="C16" ca="1">COLUMN(INDIRECT(D16 &amp; "1"))</f>
        <v>85</v>
      </c>
      <c r="D16" t="s">
        <v>46</v>
      </c>
      <c r="E16">
        <v>435</v>
      </c>
      <c r="F16">
        <v>15</v>
      </c>
      <c r="G16">
        <v>12</v>
      </c>
      <c r="I16">
        <f t="shared" si="3"/>
        <v>133</v>
      </c>
      <c r="J16">
        <f t="shared" si="9"/>
        <v>144</v>
      </c>
      <c r="K16">
        <f t="shared" si="4"/>
        <v>180</v>
      </c>
      <c r="L16">
        <f t="shared" si="10"/>
        <v>5713</v>
      </c>
      <c r="N16" s="37">
        <v>0</v>
      </c>
      <c r="O16">
        <f t="shared" si="0"/>
        <v>15</v>
      </c>
      <c r="P16">
        <f t="shared" si="1"/>
        <v>12</v>
      </c>
      <c r="Q16">
        <f t="shared" si="2"/>
        <v>180</v>
      </c>
      <c r="R16">
        <f t="shared" si="11"/>
        <v>5621</v>
      </c>
      <c r="T16">
        <f t="shared" si="12"/>
        <v>5621</v>
      </c>
    </row>
    <row r="17" spans="1:20" x14ac:dyDescent="0.3">
      <c r="A17">
        <v>15</v>
      </c>
      <c r="B17" t="s">
        <v>47</v>
      </c>
      <c r="C17" cm="1">
        <f t="array" aca="1" ref="C17" ca="1">COLUMN(INDIRECT(D17 &amp; "1"))</f>
        <v>258</v>
      </c>
      <c r="D17" t="s">
        <v>50</v>
      </c>
      <c r="E17">
        <v>435</v>
      </c>
      <c r="F17">
        <v>15</v>
      </c>
      <c r="G17">
        <v>12</v>
      </c>
      <c r="I17">
        <f t="shared" si="3"/>
        <v>145</v>
      </c>
      <c r="J17">
        <f t="shared" si="9"/>
        <v>156</v>
      </c>
      <c r="K17">
        <f t="shared" si="4"/>
        <v>180</v>
      </c>
      <c r="L17">
        <f t="shared" ref="L17:L47" si="13">IF(NOT(N17), L16+K16, L16)</f>
        <v>5893</v>
      </c>
      <c r="N17" s="37">
        <v>0</v>
      </c>
      <c r="O17">
        <f t="shared" si="0"/>
        <v>15</v>
      </c>
      <c r="P17">
        <f t="shared" si="1"/>
        <v>12</v>
      </c>
      <c r="Q17">
        <f t="shared" si="2"/>
        <v>180</v>
      </c>
      <c r="R17">
        <f t="shared" si="11"/>
        <v>5801</v>
      </c>
      <c r="T17">
        <f t="shared" si="12"/>
        <v>5801</v>
      </c>
    </row>
    <row r="18" spans="1:20" x14ac:dyDescent="0.3">
      <c r="A18">
        <v>16</v>
      </c>
      <c r="B18" t="s">
        <v>48</v>
      </c>
      <c r="C18" cm="1">
        <f t="array" aca="1" ref="C18" ca="1">COLUMN(INDIRECT(D18 &amp; "1"))</f>
        <v>355</v>
      </c>
      <c r="D18" t="s">
        <v>51</v>
      </c>
      <c r="E18">
        <v>435</v>
      </c>
      <c r="F18">
        <v>15</v>
      </c>
      <c r="G18">
        <v>12</v>
      </c>
      <c r="I18">
        <f t="shared" si="3"/>
        <v>157</v>
      </c>
      <c r="J18">
        <f t="shared" si="9"/>
        <v>156</v>
      </c>
      <c r="K18">
        <f t="shared" si="4"/>
        <v>180</v>
      </c>
      <c r="L18">
        <f t="shared" si="13"/>
        <v>5893</v>
      </c>
      <c r="N18" s="37">
        <v>1</v>
      </c>
      <c r="O18">
        <f t="shared" si="0"/>
        <v>0</v>
      </c>
      <c r="P18">
        <f t="shared" si="1"/>
        <v>0</v>
      </c>
      <c r="Q18">
        <f t="shared" si="2"/>
        <v>0</v>
      </c>
      <c r="R18">
        <f t="shared" si="11"/>
        <v>5981</v>
      </c>
      <c r="S18">
        <f>R17</f>
        <v>5801</v>
      </c>
      <c r="T18">
        <f t="shared" si="12"/>
        <v>5801</v>
      </c>
    </row>
    <row r="19" spans="1:20" x14ac:dyDescent="0.3">
      <c r="A19">
        <v>17</v>
      </c>
      <c r="B19" t="s">
        <v>49</v>
      </c>
      <c r="C19" cm="1">
        <f t="array" aca="1" ref="C19" ca="1">COLUMN(INDIRECT(D19 &amp; "1"))</f>
        <v>544</v>
      </c>
      <c r="D19" t="s">
        <v>52</v>
      </c>
      <c r="E19">
        <v>435</v>
      </c>
      <c r="F19">
        <v>15</v>
      </c>
      <c r="G19">
        <v>12</v>
      </c>
      <c r="I19">
        <f t="shared" si="3"/>
        <v>157</v>
      </c>
      <c r="J19">
        <f t="shared" si="9"/>
        <v>156</v>
      </c>
      <c r="K19">
        <f t="shared" si="4"/>
        <v>180</v>
      </c>
      <c r="L19">
        <f t="shared" si="13"/>
        <v>5893</v>
      </c>
      <c r="N19" s="37">
        <v>1</v>
      </c>
      <c r="O19">
        <f t="shared" si="0"/>
        <v>0</v>
      </c>
      <c r="P19">
        <f t="shared" si="1"/>
        <v>0</v>
      </c>
      <c r="Q19">
        <f t="shared" si="2"/>
        <v>0</v>
      </c>
      <c r="R19">
        <f t="shared" si="11"/>
        <v>5981</v>
      </c>
      <c r="S19">
        <f>R17</f>
        <v>5801</v>
      </c>
      <c r="T19">
        <f t="shared" si="12"/>
        <v>5801</v>
      </c>
    </row>
    <row r="20" spans="1:20" x14ac:dyDescent="0.3">
      <c r="A20">
        <v>18</v>
      </c>
      <c r="B20" t="s">
        <v>24</v>
      </c>
      <c r="C20" cm="1">
        <f t="array" aca="1" ref="C20" ca="1">COLUMN(INDIRECT(D20 &amp; "1"))</f>
        <v>262</v>
      </c>
      <c r="D20" t="s">
        <v>43</v>
      </c>
      <c r="E20">
        <v>410</v>
      </c>
      <c r="F20">
        <v>105</v>
      </c>
      <c r="G20">
        <v>18</v>
      </c>
      <c r="I20">
        <f t="shared" si="3"/>
        <v>157</v>
      </c>
      <c r="J20">
        <f t="shared" si="9"/>
        <v>174</v>
      </c>
      <c r="K20">
        <f t="shared" si="4"/>
        <v>1890</v>
      </c>
      <c r="L20">
        <f t="shared" si="13"/>
        <v>6073</v>
      </c>
      <c r="N20" s="37">
        <v>0</v>
      </c>
      <c r="O20">
        <f t="shared" si="0"/>
        <v>105</v>
      </c>
      <c r="P20">
        <f t="shared" si="1"/>
        <v>18</v>
      </c>
      <c r="Q20">
        <f t="shared" si="2"/>
        <v>1890</v>
      </c>
      <c r="R20">
        <f t="shared" si="11"/>
        <v>5981</v>
      </c>
      <c r="T20">
        <f t="shared" si="12"/>
        <v>5981</v>
      </c>
    </row>
    <row r="21" spans="1:20" x14ac:dyDescent="0.3">
      <c r="A21">
        <v>19</v>
      </c>
      <c r="B21" t="s">
        <v>25</v>
      </c>
      <c r="C21" cm="1">
        <f t="array" aca="1" ref="C21" ca="1">COLUMN(INDIRECT(D21 &amp; "1"))</f>
        <v>282</v>
      </c>
      <c r="D21" t="s">
        <v>72</v>
      </c>
      <c r="E21">
        <v>446</v>
      </c>
      <c r="F21">
        <v>64</v>
      </c>
      <c r="G21">
        <v>12</v>
      </c>
      <c r="I21">
        <f t="shared" si="3"/>
        <v>175</v>
      </c>
      <c r="J21">
        <f t="shared" si="9"/>
        <v>186</v>
      </c>
      <c r="K21">
        <f t="shared" si="4"/>
        <v>768</v>
      </c>
      <c r="L21">
        <f t="shared" si="13"/>
        <v>7963</v>
      </c>
      <c r="N21" s="37">
        <v>0</v>
      </c>
      <c r="O21">
        <f t="shared" si="0"/>
        <v>64</v>
      </c>
      <c r="P21">
        <f t="shared" si="1"/>
        <v>12</v>
      </c>
      <c r="Q21">
        <f t="shared" si="2"/>
        <v>768</v>
      </c>
      <c r="R21">
        <f t="shared" si="11"/>
        <v>7871</v>
      </c>
      <c r="T21">
        <f t="shared" si="12"/>
        <v>7871</v>
      </c>
    </row>
    <row r="22" spans="1:20" x14ac:dyDescent="0.3">
      <c r="A22">
        <v>20</v>
      </c>
      <c r="B22" t="s">
        <v>26</v>
      </c>
      <c r="C22" cm="1">
        <f t="array" aca="1" ref="C22" ca="1">COLUMN(INDIRECT(D22 &amp; "1"))</f>
        <v>410</v>
      </c>
      <c r="D22" t="s">
        <v>63</v>
      </c>
      <c r="E22">
        <v>410</v>
      </c>
      <c r="F22">
        <v>95</v>
      </c>
      <c r="G22">
        <v>18</v>
      </c>
      <c r="I22">
        <f t="shared" si="3"/>
        <v>187</v>
      </c>
      <c r="J22">
        <f t="shared" si="9"/>
        <v>204</v>
      </c>
      <c r="K22">
        <f t="shared" si="4"/>
        <v>1710</v>
      </c>
      <c r="L22">
        <f t="shared" si="13"/>
        <v>8731</v>
      </c>
      <c r="N22" s="37">
        <v>0</v>
      </c>
      <c r="O22">
        <f t="shared" si="0"/>
        <v>95</v>
      </c>
      <c r="P22">
        <f t="shared" si="1"/>
        <v>18</v>
      </c>
      <c r="Q22">
        <f t="shared" si="2"/>
        <v>1710</v>
      </c>
      <c r="R22">
        <f t="shared" si="11"/>
        <v>8639</v>
      </c>
      <c r="T22">
        <f t="shared" si="12"/>
        <v>8639</v>
      </c>
    </row>
    <row r="23" spans="1:20" x14ac:dyDescent="0.3">
      <c r="A23">
        <v>21</v>
      </c>
      <c r="B23" t="s">
        <v>64</v>
      </c>
      <c r="C23" cm="1">
        <f t="array" aca="1" ref="C23" ca="1">COLUMN(INDIRECT(D23 &amp; "1"))</f>
        <v>558</v>
      </c>
      <c r="D23" t="s">
        <v>65</v>
      </c>
      <c r="E23">
        <v>401</v>
      </c>
      <c r="F23">
        <v>77</v>
      </c>
      <c r="G23">
        <v>29</v>
      </c>
      <c r="I23">
        <f t="shared" si="3"/>
        <v>205</v>
      </c>
      <c r="J23">
        <f t="shared" si="9"/>
        <v>233</v>
      </c>
      <c r="K23">
        <f t="shared" si="4"/>
        <v>2233</v>
      </c>
      <c r="L23">
        <f t="shared" si="13"/>
        <v>10441</v>
      </c>
      <c r="N23" s="37">
        <v>0</v>
      </c>
      <c r="O23">
        <f t="shared" si="0"/>
        <v>77</v>
      </c>
      <c r="P23">
        <f t="shared" si="1"/>
        <v>29</v>
      </c>
      <c r="Q23">
        <f t="shared" si="2"/>
        <v>2233</v>
      </c>
      <c r="R23">
        <f t="shared" si="11"/>
        <v>10349</v>
      </c>
      <c r="T23">
        <f t="shared" si="12"/>
        <v>10349</v>
      </c>
    </row>
    <row r="24" spans="1:20" x14ac:dyDescent="0.3">
      <c r="A24">
        <v>22</v>
      </c>
      <c r="B24" t="s">
        <v>27</v>
      </c>
      <c r="C24" cm="1">
        <f t="array" aca="1" ref="C24" ca="1">COLUMN(INDIRECT(D24 &amp; "1"))</f>
        <v>578</v>
      </c>
      <c r="D24" t="s">
        <v>73</v>
      </c>
      <c r="E24">
        <v>446</v>
      </c>
      <c r="F24">
        <v>38</v>
      </c>
      <c r="G24">
        <v>12</v>
      </c>
      <c r="I24">
        <f t="shared" si="3"/>
        <v>234</v>
      </c>
      <c r="J24">
        <f t="shared" si="9"/>
        <v>245</v>
      </c>
      <c r="K24">
        <f t="shared" si="4"/>
        <v>456</v>
      </c>
      <c r="L24">
        <f t="shared" si="13"/>
        <v>12674</v>
      </c>
      <c r="N24" s="37">
        <v>0</v>
      </c>
      <c r="O24">
        <f t="shared" si="0"/>
        <v>38</v>
      </c>
      <c r="P24">
        <f t="shared" si="1"/>
        <v>12</v>
      </c>
      <c r="Q24">
        <f t="shared" si="2"/>
        <v>456</v>
      </c>
      <c r="R24">
        <f t="shared" si="11"/>
        <v>12582</v>
      </c>
      <c r="T24">
        <f t="shared" si="12"/>
        <v>12582</v>
      </c>
    </row>
    <row r="25" spans="1:20" x14ac:dyDescent="0.3">
      <c r="A25">
        <v>23</v>
      </c>
      <c r="B25" t="s">
        <v>28</v>
      </c>
      <c r="C25" cm="1">
        <f t="array" aca="1" ref="C25" ca="1">COLUMN(INDIRECT(D25 &amp; "1"))</f>
        <v>320</v>
      </c>
      <c r="D25" t="s">
        <v>66</v>
      </c>
      <c r="E25">
        <v>330</v>
      </c>
      <c r="F25">
        <v>196</v>
      </c>
      <c r="G25">
        <v>18</v>
      </c>
      <c r="I25">
        <f t="shared" si="3"/>
        <v>246</v>
      </c>
      <c r="J25">
        <f t="shared" si="9"/>
        <v>263</v>
      </c>
      <c r="K25">
        <f t="shared" si="4"/>
        <v>3528</v>
      </c>
      <c r="L25">
        <f t="shared" si="13"/>
        <v>13130</v>
      </c>
      <c r="N25" s="37">
        <v>0</v>
      </c>
      <c r="O25">
        <f t="shared" si="0"/>
        <v>196</v>
      </c>
      <c r="P25">
        <f t="shared" si="1"/>
        <v>18</v>
      </c>
      <c r="Q25">
        <f t="shared" si="2"/>
        <v>3528</v>
      </c>
      <c r="R25">
        <f t="shared" si="11"/>
        <v>13038</v>
      </c>
      <c r="T25">
        <f t="shared" si="12"/>
        <v>13038</v>
      </c>
    </row>
    <row r="26" spans="1:20" x14ac:dyDescent="0.3">
      <c r="A26">
        <v>24</v>
      </c>
      <c r="B26" t="s">
        <v>68</v>
      </c>
      <c r="C26" cm="1">
        <f t="array" aca="1" ref="C26" ca="1">COLUMN(INDIRECT(D26 &amp; "1"))</f>
        <v>362</v>
      </c>
      <c r="D26" t="s">
        <v>181</v>
      </c>
      <c r="E26">
        <v>296</v>
      </c>
      <c r="F26">
        <v>281</v>
      </c>
      <c r="G26">
        <v>27</v>
      </c>
      <c r="I26">
        <f t="shared" si="3"/>
        <v>264</v>
      </c>
      <c r="J26">
        <f t="shared" si="9"/>
        <v>290</v>
      </c>
      <c r="K26">
        <f t="shared" si="4"/>
        <v>7587</v>
      </c>
      <c r="L26">
        <f t="shared" si="13"/>
        <v>16658</v>
      </c>
      <c r="N26" s="37">
        <v>0</v>
      </c>
      <c r="O26">
        <f t="shared" si="0"/>
        <v>281</v>
      </c>
      <c r="P26">
        <f t="shared" si="1"/>
        <v>27</v>
      </c>
      <c r="Q26">
        <f t="shared" si="2"/>
        <v>7587</v>
      </c>
      <c r="R26">
        <f t="shared" si="11"/>
        <v>16566</v>
      </c>
      <c r="T26">
        <f t="shared" si="12"/>
        <v>16566</v>
      </c>
    </row>
    <row r="27" spans="1:20" x14ac:dyDescent="0.3">
      <c r="B27" t="s">
        <v>111</v>
      </c>
      <c r="C27" t="e" cm="1">
        <f t="array" aca="1" ref="C27" ca="1">COLUMN(INDIRECT(D27 &amp; "1"))</f>
        <v>#REF!</v>
      </c>
      <c r="I27">
        <f t="shared" si="3"/>
        <v>291</v>
      </c>
      <c r="J27">
        <f t="shared" si="9"/>
        <v>290</v>
      </c>
      <c r="K27">
        <f t="shared" si="4"/>
        <v>0</v>
      </c>
      <c r="L27">
        <f t="shared" si="13"/>
        <v>24245</v>
      </c>
      <c r="N27" s="37">
        <v>0</v>
      </c>
      <c r="O27">
        <f t="shared" si="0"/>
        <v>0</v>
      </c>
      <c r="P27">
        <f t="shared" si="1"/>
        <v>0</v>
      </c>
      <c r="Q27">
        <f t="shared" si="2"/>
        <v>0</v>
      </c>
      <c r="R27">
        <f t="shared" si="11"/>
        <v>24153</v>
      </c>
      <c r="T27">
        <f t="shared" si="12"/>
        <v>24153</v>
      </c>
    </row>
    <row r="28" spans="1:20" x14ac:dyDescent="0.3">
      <c r="A28">
        <v>25</v>
      </c>
      <c r="B28" t="s">
        <v>82</v>
      </c>
      <c r="C28" cm="1">
        <f t="array" aca="1" ref="C28" ca="1">COLUMN(INDIRECT(D28 &amp; "1"))</f>
        <v>34</v>
      </c>
      <c r="D28" t="s">
        <v>277</v>
      </c>
      <c r="E28">
        <v>301</v>
      </c>
      <c r="F28">
        <v>52</v>
      </c>
      <c r="G28">
        <v>18</v>
      </c>
      <c r="H28" t="s">
        <v>40</v>
      </c>
      <c r="I28">
        <f t="shared" si="3"/>
        <v>291</v>
      </c>
      <c r="J28">
        <f t="shared" si="9"/>
        <v>308</v>
      </c>
      <c r="K28">
        <f t="shared" si="4"/>
        <v>936</v>
      </c>
      <c r="L28">
        <f t="shared" si="13"/>
        <v>24245</v>
      </c>
      <c r="N28" s="37">
        <v>0</v>
      </c>
      <c r="O28">
        <f t="shared" si="0"/>
        <v>52</v>
      </c>
      <c r="P28">
        <f t="shared" si="1"/>
        <v>18</v>
      </c>
      <c r="Q28">
        <f t="shared" si="2"/>
        <v>936</v>
      </c>
      <c r="R28">
        <f t="shared" si="11"/>
        <v>24153</v>
      </c>
      <c r="T28">
        <f t="shared" si="12"/>
        <v>24153</v>
      </c>
    </row>
    <row r="29" spans="1:20" x14ac:dyDescent="0.3">
      <c r="A29">
        <v>26</v>
      </c>
      <c r="B29" t="s">
        <v>83</v>
      </c>
      <c r="C29" cm="1">
        <f t="array" aca="1" ref="C29" ca="1">COLUMN(INDIRECT(D29 &amp; "1"))</f>
        <v>88</v>
      </c>
      <c r="D29" t="s">
        <v>278</v>
      </c>
      <c r="E29">
        <v>301</v>
      </c>
      <c r="F29">
        <v>169</v>
      </c>
      <c r="G29">
        <v>12</v>
      </c>
      <c r="H29" t="s">
        <v>86</v>
      </c>
      <c r="I29">
        <f t="shared" si="3"/>
        <v>309</v>
      </c>
      <c r="J29">
        <f t="shared" si="9"/>
        <v>320</v>
      </c>
      <c r="K29">
        <f t="shared" si="4"/>
        <v>2028</v>
      </c>
      <c r="L29">
        <f t="shared" si="13"/>
        <v>25181</v>
      </c>
      <c r="N29" s="37">
        <v>0</v>
      </c>
      <c r="O29">
        <f t="shared" si="0"/>
        <v>169</v>
      </c>
      <c r="P29">
        <f t="shared" si="1"/>
        <v>12</v>
      </c>
      <c r="Q29">
        <f t="shared" si="2"/>
        <v>2028</v>
      </c>
      <c r="R29">
        <f t="shared" si="11"/>
        <v>25089</v>
      </c>
      <c r="T29">
        <f t="shared" si="12"/>
        <v>25089</v>
      </c>
    </row>
    <row r="30" spans="1:20" x14ac:dyDescent="0.3">
      <c r="A30">
        <v>27</v>
      </c>
      <c r="B30" t="s">
        <v>84</v>
      </c>
      <c r="C30" cm="1">
        <f t="array" aca="1" ref="C30" ca="1">COLUMN(INDIRECT(D30 &amp; "1"))</f>
        <v>259</v>
      </c>
      <c r="D30" t="s">
        <v>279</v>
      </c>
      <c r="E30">
        <v>301</v>
      </c>
      <c r="F30">
        <v>60</v>
      </c>
      <c r="G30">
        <v>18</v>
      </c>
      <c r="H30" t="s">
        <v>50</v>
      </c>
      <c r="I30">
        <f t="shared" si="3"/>
        <v>321</v>
      </c>
      <c r="J30">
        <f t="shared" si="9"/>
        <v>338</v>
      </c>
      <c r="K30">
        <f t="shared" si="4"/>
        <v>1080</v>
      </c>
      <c r="L30">
        <f t="shared" si="13"/>
        <v>27209</v>
      </c>
      <c r="N30" s="37">
        <v>0</v>
      </c>
      <c r="O30">
        <f t="shared" si="0"/>
        <v>60</v>
      </c>
      <c r="P30">
        <f t="shared" si="1"/>
        <v>18</v>
      </c>
      <c r="Q30">
        <f t="shared" si="2"/>
        <v>1080</v>
      </c>
      <c r="R30">
        <f t="shared" si="11"/>
        <v>27117</v>
      </c>
      <c r="T30">
        <f t="shared" si="12"/>
        <v>27117</v>
      </c>
    </row>
    <row r="31" spans="1:20" x14ac:dyDescent="0.3">
      <c r="A31">
        <v>28</v>
      </c>
      <c r="B31" t="s">
        <v>85</v>
      </c>
      <c r="C31" cm="1">
        <f t="array" aca="1" ref="C31" ca="1">COLUMN(INDIRECT(D31 &amp; "1"))</f>
        <v>321</v>
      </c>
      <c r="D31" t="s">
        <v>280</v>
      </c>
      <c r="E31">
        <v>301</v>
      </c>
      <c r="F31">
        <v>26</v>
      </c>
      <c r="G31">
        <v>12</v>
      </c>
      <c r="H31" t="s">
        <v>66</v>
      </c>
      <c r="I31">
        <f t="shared" si="3"/>
        <v>339</v>
      </c>
      <c r="J31">
        <f t="shared" si="9"/>
        <v>350</v>
      </c>
      <c r="K31">
        <f t="shared" si="4"/>
        <v>312</v>
      </c>
      <c r="L31">
        <f t="shared" si="13"/>
        <v>28289</v>
      </c>
      <c r="N31" s="37">
        <v>0</v>
      </c>
      <c r="O31">
        <f t="shared" si="0"/>
        <v>26</v>
      </c>
      <c r="P31">
        <f t="shared" si="1"/>
        <v>12</v>
      </c>
      <c r="Q31">
        <f t="shared" si="2"/>
        <v>312</v>
      </c>
      <c r="R31">
        <f t="shared" si="11"/>
        <v>28197</v>
      </c>
      <c r="T31">
        <f t="shared" si="12"/>
        <v>28197</v>
      </c>
    </row>
    <row r="32" spans="1:20" x14ac:dyDescent="0.3">
      <c r="A32">
        <v>29</v>
      </c>
      <c r="B32" t="s">
        <v>87</v>
      </c>
      <c r="C32" cm="1">
        <f t="array" aca="1" ref="C32" ca="1">COLUMN(INDIRECT(D32 &amp; "1"))</f>
        <v>25</v>
      </c>
      <c r="D32" t="s">
        <v>31</v>
      </c>
      <c r="E32">
        <v>379</v>
      </c>
      <c r="F32">
        <v>35</v>
      </c>
      <c r="G32">
        <v>12</v>
      </c>
      <c r="H32" t="s">
        <v>30</v>
      </c>
      <c r="I32">
        <f t="shared" si="3"/>
        <v>351</v>
      </c>
      <c r="J32">
        <f t="shared" si="9"/>
        <v>362</v>
      </c>
      <c r="K32">
        <f t="shared" si="4"/>
        <v>420</v>
      </c>
      <c r="L32">
        <f t="shared" si="13"/>
        <v>28601</v>
      </c>
      <c r="N32" s="37">
        <v>0</v>
      </c>
      <c r="O32">
        <f t="shared" si="0"/>
        <v>35</v>
      </c>
      <c r="P32">
        <f t="shared" si="1"/>
        <v>12</v>
      </c>
      <c r="Q32">
        <f t="shared" si="2"/>
        <v>420</v>
      </c>
      <c r="R32">
        <f t="shared" si="11"/>
        <v>28509</v>
      </c>
      <c r="T32">
        <f t="shared" si="12"/>
        <v>28509</v>
      </c>
    </row>
    <row r="33" spans="1:20" x14ac:dyDescent="0.3">
      <c r="A33">
        <v>30</v>
      </c>
      <c r="B33" t="s">
        <v>88</v>
      </c>
      <c r="C33" cm="1">
        <f t="array" aca="1" ref="C33" ca="1">COLUMN(INDIRECT(D33 &amp; "1"))</f>
        <v>25</v>
      </c>
      <c r="D33" t="s">
        <v>31</v>
      </c>
      <c r="E33">
        <v>393</v>
      </c>
      <c r="F33">
        <v>36</v>
      </c>
      <c r="G33">
        <v>12</v>
      </c>
      <c r="H33" t="s">
        <v>30</v>
      </c>
      <c r="I33">
        <f t="shared" si="3"/>
        <v>363</v>
      </c>
      <c r="J33">
        <f t="shared" si="9"/>
        <v>374</v>
      </c>
      <c r="K33">
        <f t="shared" si="4"/>
        <v>432</v>
      </c>
      <c r="L33">
        <f t="shared" si="13"/>
        <v>29021</v>
      </c>
      <c r="N33" s="37">
        <v>0</v>
      </c>
      <c r="O33">
        <f t="shared" si="0"/>
        <v>36</v>
      </c>
      <c r="P33">
        <f t="shared" si="1"/>
        <v>12</v>
      </c>
      <c r="Q33">
        <f t="shared" si="2"/>
        <v>432</v>
      </c>
      <c r="R33">
        <f t="shared" si="11"/>
        <v>28929</v>
      </c>
      <c r="T33">
        <f t="shared" si="12"/>
        <v>28929</v>
      </c>
    </row>
    <row r="34" spans="1:20" x14ac:dyDescent="0.3">
      <c r="A34">
        <v>31</v>
      </c>
      <c r="B34" t="s">
        <v>121</v>
      </c>
      <c r="C34" cm="1">
        <f t="array" aca="1" ref="C34" ca="1">COLUMN(INDIRECT(D34 &amp; "1"))</f>
        <v>37</v>
      </c>
      <c r="D34" t="s">
        <v>281</v>
      </c>
      <c r="E34">
        <v>435</v>
      </c>
      <c r="F34">
        <v>15</v>
      </c>
      <c r="G34">
        <v>12</v>
      </c>
      <c r="H34" t="s">
        <v>122</v>
      </c>
      <c r="I34">
        <f t="shared" si="3"/>
        <v>375</v>
      </c>
      <c r="J34">
        <f t="shared" si="9"/>
        <v>374</v>
      </c>
      <c r="K34">
        <f t="shared" si="4"/>
        <v>180</v>
      </c>
      <c r="L34">
        <f t="shared" si="13"/>
        <v>29021</v>
      </c>
      <c r="N34" s="37">
        <v>1</v>
      </c>
      <c r="O34">
        <f t="shared" ref="O34:O65" si="14">IF(NOT($N34), F34, 0)</f>
        <v>0</v>
      </c>
      <c r="P34">
        <f t="shared" ref="P34:P65" si="15">IF(NOT($N34), G34, 0)</f>
        <v>0</v>
      </c>
      <c r="Q34">
        <f t="shared" ref="Q34:Q65" si="16">O34*P34</f>
        <v>0</v>
      </c>
      <c r="R34">
        <f t="shared" si="11"/>
        <v>29361</v>
      </c>
      <c r="S34">
        <f>R16</f>
        <v>5621</v>
      </c>
      <c r="T34">
        <f t="shared" si="12"/>
        <v>5621</v>
      </c>
    </row>
    <row r="35" spans="1:20" x14ac:dyDescent="0.3">
      <c r="A35">
        <v>32</v>
      </c>
      <c r="B35" t="s">
        <v>123</v>
      </c>
      <c r="C35" cm="1">
        <f t="array" aca="1" ref="C35" ca="1">COLUMN(INDIRECT(D35 &amp; "1"))</f>
        <v>33</v>
      </c>
      <c r="D35" t="s">
        <v>40</v>
      </c>
      <c r="E35">
        <v>448</v>
      </c>
      <c r="F35">
        <v>25</v>
      </c>
      <c r="G35">
        <v>8</v>
      </c>
      <c r="H35" t="s">
        <v>124</v>
      </c>
      <c r="I35">
        <f t="shared" si="3"/>
        <v>375</v>
      </c>
      <c r="J35">
        <f t="shared" si="9"/>
        <v>374</v>
      </c>
      <c r="K35">
        <f t="shared" si="4"/>
        <v>200</v>
      </c>
      <c r="L35">
        <f t="shared" si="13"/>
        <v>29021</v>
      </c>
      <c r="N35" s="37">
        <v>1</v>
      </c>
      <c r="O35">
        <f t="shared" si="14"/>
        <v>0</v>
      </c>
      <c r="P35">
        <f t="shared" si="15"/>
        <v>0</v>
      </c>
      <c r="Q35">
        <f t="shared" si="16"/>
        <v>0</v>
      </c>
      <c r="R35">
        <f t="shared" si="11"/>
        <v>29361</v>
      </c>
      <c r="S35">
        <f>R10</f>
        <v>5097</v>
      </c>
      <c r="T35">
        <f t="shared" si="12"/>
        <v>5097</v>
      </c>
    </row>
    <row r="36" spans="1:20" x14ac:dyDescent="0.3">
      <c r="A36">
        <v>33</v>
      </c>
      <c r="B36" t="s">
        <v>89</v>
      </c>
      <c r="C36" cm="1">
        <f t="array" aca="1" ref="C36" ca="1">COLUMN(INDIRECT(D36 &amp; "1"))</f>
        <v>63</v>
      </c>
      <c r="D36" t="s">
        <v>282</v>
      </c>
      <c r="E36">
        <v>444</v>
      </c>
      <c r="F36">
        <v>49</v>
      </c>
      <c r="G36">
        <v>12</v>
      </c>
      <c r="H36" t="s">
        <v>125</v>
      </c>
      <c r="I36">
        <f t="shared" ref="I36:I67" si="17">J35+1</f>
        <v>375</v>
      </c>
      <c r="J36">
        <f t="shared" si="9"/>
        <v>386</v>
      </c>
      <c r="K36">
        <f t="shared" si="4"/>
        <v>588</v>
      </c>
      <c r="L36">
        <f t="shared" si="13"/>
        <v>29221</v>
      </c>
      <c r="N36" s="37">
        <v>0</v>
      </c>
      <c r="O36">
        <f t="shared" si="14"/>
        <v>49</v>
      </c>
      <c r="P36">
        <f t="shared" si="15"/>
        <v>12</v>
      </c>
      <c r="Q36">
        <f t="shared" si="16"/>
        <v>588</v>
      </c>
      <c r="R36">
        <f t="shared" si="11"/>
        <v>29361</v>
      </c>
      <c r="T36">
        <f t="shared" si="12"/>
        <v>29361</v>
      </c>
    </row>
    <row r="37" spans="1:20" x14ac:dyDescent="0.3">
      <c r="A37">
        <v>34</v>
      </c>
      <c r="B37" t="s">
        <v>126</v>
      </c>
      <c r="C37" cm="1">
        <f t="array" aca="1" ref="C37" ca="1">COLUMN(INDIRECT(D37 &amp; "1"))</f>
        <v>78</v>
      </c>
      <c r="D37" t="s">
        <v>283</v>
      </c>
      <c r="E37">
        <v>375</v>
      </c>
      <c r="F37">
        <v>4</v>
      </c>
      <c r="G37">
        <v>4</v>
      </c>
      <c r="H37" t="s">
        <v>90</v>
      </c>
      <c r="I37">
        <f t="shared" si="17"/>
        <v>387</v>
      </c>
      <c r="J37">
        <f t="shared" si="9"/>
        <v>390</v>
      </c>
      <c r="K37">
        <f t="shared" si="4"/>
        <v>16</v>
      </c>
      <c r="L37">
        <f t="shared" si="13"/>
        <v>29809</v>
      </c>
      <c r="N37" s="37">
        <v>0</v>
      </c>
      <c r="O37">
        <f t="shared" si="14"/>
        <v>4</v>
      </c>
      <c r="P37">
        <f t="shared" si="15"/>
        <v>4</v>
      </c>
      <c r="Q37">
        <f t="shared" si="16"/>
        <v>16</v>
      </c>
      <c r="R37">
        <f t="shared" si="11"/>
        <v>29949</v>
      </c>
      <c r="T37">
        <f t="shared" si="12"/>
        <v>29949</v>
      </c>
    </row>
    <row r="38" spans="1:20" x14ac:dyDescent="0.3">
      <c r="A38">
        <v>35</v>
      </c>
      <c r="B38" t="s">
        <v>75</v>
      </c>
      <c r="C38" cm="1">
        <f t="array" aca="1" ref="C38" ca="1">COLUMN(INDIRECT(D38 &amp; "1"))</f>
        <v>70</v>
      </c>
      <c r="D38" t="s">
        <v>284</v>
      </c>
      <c r="E38">
        <v>331</v>
      </c>
      <c r="F38">
        <v>146</v>
      </c>
      <c r="G38">
        <v>18</v>
      </c>
      <c r="H38" t="s">
        <v>76</v>
      </c>
      <c r="I38">
        <f t="shared" si="17"/>
        <v>391</v>
      </c>
      <c r="J38">
        <f t="shared" si="9"/>
        <v>408</v>
      </c>
      <c r="K38">
        <f t="shared" si="4"/>
        <v>2628</v>
      </c>
      <c r="L38">
        <f t="shared" si="13"/>
        <v>29825</v>
      </c>
      <c r="N38" s="37">
        <v>0</v>
      </c>
      <c r="O38">
        <f t="shared" si="14"/>
        <v>146</v>
      </c>
      <c r="P38">
        <f t="shared" si="15"/>
        <v>18</v>
      </c>
      <c r="Q38">
        <f t="shared" si="16"/>
        <v>2628</v>
      </c>
      <c r="R38">
        <f t="shared" si="11"/>
        <v>29965</v>
      </c>
      <c r="T38">
        <f t="shared" si="12"/>
        <v>29965</v>
      </c>
    </row>
    <row r="39" spans="1:20" x14ac:dyDescent="0.3">
      <c r="A39">
        <v>36</v>
      </c>
      <c r="B39" t="s">
        <v>77</v>
      </c>
      <c r="C39" cm="1">
        <f t="array" aca="1" ref="C39" ca="1">COLUMN(INDIRECT(D39 &amp; "1"))</f>
        <v>101</v>
      </c>
      <c r="D39" t="s">
        <v>285</v>
      </c>
      <c r="E39">
        <v>353</v>
      </c>
      <c r="F39">
        <v>83</v>
      </c>
      <c r="G39">
        <v>12</v>
      </c>
      <c r="H39" t="s">
        <v>78</v>
      </c>
      <c r="I39">
        <f t="shared" si="17"/>
        <v>409</v>
      </c>
      <c r="J39">
        <f t="shared" ref="J39:J70" si="18">I39+P39-1</f>
        <v>420</v>
      </c>
      <c r="K39">
        <f t="shared" si="4"/>
        <v>996</v>
      </c>
      <c r="L39">
        <f t="shared" si="13"/>
        <v>32453</v>
      </c>
      <c r="N39" s="37">
        <v>0</v>
      </c>
      <c r="O39">
        <f t="shared" si="14"/>
        <v>83</v>
      </c>
      <c r="P39">
        <f t="shared" si="15"/>
        <v>12</v>
      </c>
      <c r="Q39">
        <f t="shared" si="16"/>
        <v>996</v>
      </c>
      <c r="R39">
        <f t="shared" ref="R39:R70" si="19">R38+Q38</f>
        <v>32593</v>
      </c>
      <c r="T39">
        <f t="shared" ref="T39:T102" si="20">IF(ISBLANK(S39),R39,S39)</f>
        <v>32593</v>
      </c>
    </row>
    <row r="40" spans="1:20" x14ac:dyDescent="0.3">
      <c r="A40">
        <v>37</v>
      </c>
      <c r="B40" t="s">
        <v>79</v>
      </c>
      <c r="C40" cm="1">
        <f t="array" aca="1" ref="C40" ca="1">COLUMN(INDIRECT(D40 &amp; "1"))</f>
        <v>82</v>
      </c>
      <c r="D40" t="s">
        <v>286</v>
      </c>
      <c r="E40">
        <v>372</v>
      </c>
      <c r="F40">
        <v>13</v>
      </c>
      <c r="G40">
        <v>10</v>
      </c>
      <c r="H40" t="s">
        <v>80</v>
      </c>
      <c r="I40">
        <f t="shared" si="17"/>
        <v>421</v>
      </c>
      <c r="J40">
        <f t="shared" si="18"/>
        <v>430</v>
      </c>
      <c r="K40">
        <f t="shared" si="4"/>
        <v>130</v>
      </c>
      <c r="L40">
        <f t="shared" si="13"/>
        <v>33449</v>
      </c>
      <c r="N40" s="37">
        <v>0</v>
      </c>
      <c r="O40">
        <f t="shared" si="14"/>
        <v>13</v>
      </c>
      <c r="P40">
        <f t="shared" si="15"/>
        <v>10</v>
      </c>
      <c r="Q40">
        <f t="shared" si="16"/>
        <v>130</v>
      </c>
      <c r="R40">
        <f t="shared" si="19"/>
        <v>33589</v>
      </c>
      <c r="T40">
        <f t="shared" si="20"/>
        <v>33589</v>
      </c>
    </row>
    <row r="41" spans="1:20" x14ac:dyDescent="0.3">
      <c r="A41">
        <v>38</v>
      </c>
      <c r="B41" t="s">
        <v>81</v>
      </c>
      <c r="C41" cm="1">
        <f t="array" aca="1" ref="C41" ca="1">COLUMN(INDIRECT(D41 &amp; "1"))</f>
        <v>106</v>
      </c>
      <c r="D41" t="s">
        <v>53</v>
      </c>
      <c r="E41">
        <v>372</v>
      </c>
      <c r="F41">
        <v>13</v>
      </c>
      <c r="G41">
        <v>10</v>
      </c>
      <c r="H41" t="s">
        <v>91</v>
      </c>
      <c r="I41">
        <f t="shared" si="17"/>
        <v>431</v>
      </c>
      <c r="J41">
        <f t="shared" si="18"/>
        <v>430</v>
      </c>
      <c r="K41">
        <f t="shared" si="4"/>
        <v>130</v>
      </c>
      <c r="L41">
        <f t="shared" si="13"/>
        <v>33449</v>
      </c>
      <c r="N41" s="37">
        <v>1</v>
      </c>
      <c r="O41">
        <f t="shared" si="14"/>
        <v>0</v>
      </c>
      <c r="P41">
        <f t="shared" si="15"/>
        <v>0</v>
      </c>
      <c r="Q41">
        <f t="shared" si="16"/>
        <v>0</v>
      </c>
      <c r="R41">
        <f t="shared" si="19"/>
        <v>33719</v>
      </c>
      <c r="S41">
        <f>R40</f>
        <v>33589</v>
      </c>
      <c r="T41">
        <f t="shared" si="20"/>
        <v>33589</v>
      </c>
    </row>
    <row r="42" spans="1:20" x14ac:dyDescent="0.3">
      <c r="A42">
        <v>39</v>
      </c>
      <c r="B42" t="s">
        <v>92</v>
      </c>
      <c r="C42" cm="1">
        <f t="array" aca="1" ref="C42" ca="1">COLUMN(INDIRECT(D42 &amp; "1"))</f>
        <v>140</v>
      </c>
      <c r="D42" t="s">
        <v>287</v>
      </c>
      <c r="E42">
        <v>372</v>
      </c>
      <c r="F42">
        <v>13</v>
      </c>
      <c r="G42">
        <v>10</v>
      </c>
      <c r="H42" t="s">
        <v>93</v>
      </c>
      <c r="I42">
        <f t="shared" si="17"/>
        <v>431</v>
      </c>
      <c r="J42">
        <f t="shared" si="18"/>
        <v>430</v>
      </c>
      <c r="K42">
        <f t="shared" si="4"/>
        <v>130</v>
      </c>
      <c r="L42">
        <f t="shared" si="13"/>
        <v>33449</v>
      </c>
      <c r="N42" s="37">
        <v>1</v>
      </c>
      <c r="O42">
        <f t="shared" si="14"/>
        <v>0</v>
      </c>
      <c r="P42">
        <f t="shared" si="15"/>
        <v>0</v>
      </c>
      <c r="Q42">
        <f t="shared" si="16"/>
        <v>0</v>
      </c>
      <c r="R42">
        <f t="shared" si="19"/>
        <v>33719</v>
      </c>
      <c r="S42">
        <f>R40</f>
        <v>33589</v>
      </c>
      <c r="T42">
        <f t="shared" si="20"/>
        <v>33589</v>
      </c>
    </row>
    <row r="43" spans="1:20" x14ac:dyDescent="0.3">
      <c r="A43">
        <v>40</v>
      </c>
      <c r="B43" t="s">
        <v>94</v>
      </c>
      <c r="C43" cm="1">
        <f t="array" aca="1" ref="C43" ca="1">COLUMN(INDIRECT(D43 &amp; "1"))</f>
        <v>165</v>
      </c>
      <c r="D43" t="s">
        <v>288</v>
      </c>
      <c r="E43">
        <v>372</v>
      </c>
      <c r="F43">
        <v>13</v>
      </c>
      <c r="G43">
        <v>10</v>
      </c>
      <c r="H43" t="s">
        <v>96</v>
      </c>
      <c r="I43">
        <f t="shared" si="17"/>
        <v>431</v>
      </c>
      <c r="J43">
        <f t="shared" si="18"/>
        <v>430</v>
      </c>
      <c r="K43">
        <f t="shared" si="4"/>
        <v>130</v>
      </c>
      <c r="L43">
        <f t="shared" si="13"/>
        <v>33449</v>
      </c>
      <c r="N43" s="37">
        <v>1</v>
      </c>
      <c r="O43">
        <f t="shared" si="14"/>
        <v>0</v>
      </c>
      <c r="P43">
        <f t="shared" si="15"/>
        <v>0</v>
      </c>
      <c r="Q43">
        <f t="shared" si="16"/>
        <v>0</v>
      </c>
      <c r="R43">
        <f t="shared" si="19"/>
        <v>33719</v>
      </c>
      <c r="S43">
        <f>R40</f>
        <v>33589</v>
      </c>
      <c r="T43">
        <f t="shared" si="20"/>
        <v>33589</v>
      </c>
    </row>
    <row r="44" spans="1:20" x14ac:dyDescent="0.3">
      <c r="A44">
        <v>41</v>
      </c>
      <c r="B44" t="s">
        <v>97</v>
      </c>
      <c r="C44" cm="1">
        <f t="array" aca="1" ref="C44" ca="1">COLUMN(INDIRECT(D44 &amp; "1"))</f>
        <v>96</v>
      </c>
      <c r="D44" t="s">
        <v>289</v>
      </c>
      <c r="E44">
        <v>371</v>
      </c>
      <c r="F44">
        <v>9</v>
      </c>
      <c r="G44">
        <v>12</v>
      </c>
      <c r="H44" t="s">
        <v>98</v>
      </c>
      <c r="I44">
        <f t="shared" si="17"/>
        <v>431</v>
      </c>
      <c r="J44">
        <f t="shared" si="18"/>
        <v>442</v>
      </c>
      <c r="K44">
        <f t="shared" si="4"/>
        <v>108</v>
      </c>
      <c r="L44">
        <f t="shared" si="13"/>
        <v>33579</v>
      </c>
      <c r="N44" s="37">
        <v>0</v>
      </c>
      <c r="O44">
        <f t="shared" si="14"/>
        <v>9</v>
      </c>
      <c r="P44">
        <f t="shared" si="15"/>
        <v>12</v>
      </c>
      <c r="Q44">
        <f t="shared" si="16"/>
        <v>108</v>
      </c>
      <c r="R44">
        <f t="shared" si="19"/>
        <v>33719</v>
      </c>
      <c r="T44">
        <f t="shared" si="20"/>
        <v>33719</v>
      </c>
    </row>
    <row r="45" spans="1:20" x14ac:dyDescent="0.3">
      <c r="A45">
        <v>42</v>
      </c>
      <c r="B45" t="s">
        <v>99</v>
      </c>
      <c r="C45" cm="1">
        <f t="array" aca="1" ref="C45" ca="1">COLUMN(INDIRECT(D45 &amp; "1"))</f>
        <v>121</v>
      </c>
      <c r="D45" t="s">
        <v>290</v>
      </c>
      <c r="E45">
        <v>371</v>
      </c>
      <c r="F45">
        <v>18</v>
      </c>
      <c r="G45">
        <v>12</v>
      </c>
      <c r="H45" t="s">
        <v>100</v>
      </c>
      <c r="I45">
        <f t="shared" si="17"/>
        <v>443</v>
      </c>
      <c r="J45">
        <f t="shared" si="18"/>
        <v>454</v>
      </c>
      <c r="K45">
        <f t="shared" si="4"/>
        <v>216</v>
      </c>
      <c r="L45">
        <f t="shared" si="13"/>
        <v>33687</v>
      </c>
      <c r="N45" s="37">
        <v>0</v>
      </c>
      <c r="O45">
        <f t="shared" si="14"/>
        <v>18</v>
      </c>
      <c r="P45">
        <f t="shared" si="15"/>
        <v>12</v>
      </c>
      <c r="Q45">
        <f t="shared" si="16"/>
        <v>216</v>
      </c>
      <c r="R45">
        <f t="shared" si="19"/>
        <v>33827</v>
      </c>
      <c r="T45">
        <f t="shared" si="20"/>
        <v>33827</v>
      </c>
    </row>
    <row r="46" spans="1:20" x14ac:dyDescent="0.3">
      <c r="A46">
        <v>43</v>
      </c>
      <c r="B46" t="s">
        <v>101</v>
      </c>
      <c r="C46" cm="1">
        <f t="array" aca="1" ref="C46" ca="1">COLUMN(INDIRECT(D46 &amp; "1"))</f>
        <v>154</v>
      </c>
      <c r="D46" t="s">
        <v>291</v>
      </c>
      <c r="E46">
        <v>371</v>
      </c>
      <c r="F46">
        <v>10</v>
      </c>
      <c r="G46">
        <v>12</v>
      </c>
      <c r="H46" t="s">
        <v>102</v>
      </c>
      <c r="I46">
        <f t="shared" si="17"/>
        <v>455</v>
      </c>
      <c r="J46">
        <f t="shared" si="18"/>
        <v>466</v>
      </c>
      <c r="K46">
        <f t="shared" si="4"/>
        <v>120</v>
      </c>
      <c r="L46">
        <f t="shared" si="13"/>
        <v>33903</v>
      </c>
      <c r="N46" s="37">
        <v>0</v>
      </c>
      <c r="O46">
        <f t="shared" si="14"/>
        <v>10</v>
      </c>
      <c r="P46">
        <f t="shared" si="15"/>
        <v>12</v>
      </c>
      <c r="Q46">
        <f t="shared" si="16"/>
        <v>120</v>
      </c>
      <c r="R46">
        <f t="shared" si="19"/>
        <v>34043</v>
      </c>
      <c r="T46">
        <f t="shared" si="20"/>
        <v>34043</v>
      </c>
    </row>
    <row r="47" spans="1:20" x14ac:dyDescent="0.3">
      <c r="A47">
        <v>44</v>
      </c>
      <c r="B47" t="s">
        <v>103</v>
      </c>
      <c r="C47" cm="1">
        <f t="array" aca="1" ref="C47" ca="1">COLUMN(INDIRECT(D47 &amp; "1"))</f>
        <v>179</v>
      </c>
      <c r="D47" t="s">
        <v>292</v>
      </c>
      <c r="E47">
        <v>371</v>
      </c>
      <c r="F47">
        <v>21</v>
      </c>
      <c r="G47">
        <v>12</v>
      </c>
      <c r="H47" t="s">
        <v>104</v>
      </c>
      <c r="I47">
        <f t="shared" si="17"/>
        <v>467</v>
      </c>
      <c r="J47">
        <f t="shared" si="18"/>
        <v>478</v>
      </c>
      <c r="K47">
        <f t="shared" si="4"/>
        <v>252</v>
      </c>
      <c r="L47">
        <f t="shared" si="13"/>
        <v>34023</v>
      </c>
      <c r="N47" s="37">
        <v>0</v>
      </c>
      <c r="O47">
        <f t="shared" si="14"/>
        <v>21</v>
      </c>
      <c r="P47">
        <f t="shared" si="15"/>
        <v>12</v>
      </c>
      <c r="Q47">
        <f t="shared" si="16"/>
        <v>252</v>
      </c>
      <c r="R47">
        <f t="shared" si="19"/>
        <v>34163</v>
      </c>
      <c r="T47">
        <f t="shared" si="20"/>
        <v>34163</v>
      </c>
    </row>
    <row r="48" spans="1:20" x14ac:dyDescent="0.3">
      <c r="A48">
        <v>45</v>
      </c>
      <c r="B48" t="s">
        <v>105</v>
      </c>
      <c r="C48" cm="1">
        <f t="array" aca="1" ref="C48" ca="1">COLUMN(INDIRECT(D48 &amp; "1"))</f>
        <v>103</v>
      </c>
      <c r="D48" t="s">
        <v>293</v>
      </c>
      <c r="E48">
        <v>385</v>
      </c>
      <c r="F48">
        <v>88</v>
      </c>
      <c r="G48">
        <v>44</v>
      </c>
      <c r="H48" t="s">
        <v>106</v>
      </c>
      <c r="I48">
        <f t="shared" si="17"/>
        <v>479</v>
      </c>
      <c r="J48">
        <f t="shared" si="18"/>
        <v>522</v>
      </c>
      <c r="K48">
        <f t="shared" si="4"/>
        <v>3872</v>
      </c>
      <c r="L48">
        <f t="shared" ref="L48:L75" si="21">IF(NOT(N48), L47+K47, L47)</f>
        <v>34275</v>
      </c>
      <c r="N48" s="37">
        <v>0</v>
      </c>
      <c r="O48">
        <f t="shared" si="14"/>
        <v>88</v>
      </c>
      <c r="P48">
        <f t="shared" si="15"/>
        <v>44</v>
      </c>
      <c r="Q48">
        <f t="shared" si="16"/>
        <v>3872</v>
      </c>
      <c r="R48">
        <f t="shared" si="19"/>
        <v>34415</v>
      </c>
      <c r="T48">
        <f t="shared" si="20"/>
        <v>34415</v>
      </c>
    </row>
    <row r="49" spans="1:20" x14ac:dyDescent="0.3">
      <c r="A49">
        <v>46</v>
      </c>
      <c r="B49" t="s">
        <v>127</v>
      </c>
      <c r="C49" cm="1">
        <f t="array" aca="1" ref="C49" ca="1">COLUMN(INDIRECT(D49 &amp; "1"))</f>
        <v>202</v>
      </c>
      <c r="D49" t="s">
        <v>294</v>
      </c>
      <c r="E49">
        <v>375</v>
      </c>
      <c r="F49">
        <v>6</v>
      </c>
      <c r="G49">
        <v>4</v>
      </c>
      <c r="H49" t="s">
        <v>107</v>
      </c>
      <c r="I49">
        <f t="shared" si="17"/>
        <v>523</v>
      </c>
      <c r="J49">
        <f t="shared" si="18"/>
        <v>526</v>
      </c>
      <c r="K49">
        <f t="shared" si="4"/>
        <v>24</v>
      </c>
      <c r="L49">
        <f t="shared" si="21"/>
        <v>38147</v>
      </c>
      <c r="N49" s="37">
        <v>0</v>
      </c>
      <c r="O49">
        <f t="shared" si="14"/>
        <v>6</v>
      </c>
      <c r="P49">
        <f t="shared" si="15"/>
        <v>4</v>
      </c>
      <c r="Q49">
        <f t="shared" si="16"/>
        <v>24</v>
      </c>
      <c r="R49">
        <f t="shared" si="19"/>
        <v>38287</v>
      </c>
      <c r="T49">
        <f t="shared" si="20"/>
        <v>38287</v>
      </c>
    </row>
    <row r="50" spans="1:20" x14ac:dyDescent="0.3">
      <c r="A50">
        <v>47</v>
      </c>
      <c r="B50" t="s">
        <v>128</v>
      </c>
      <c r="C50" cm="1">
        <f t="array" aca="1" ref="C50" ca="1">COLUMN(INDIRECT(D50 &amp; "1"))</f>
        <v>204</v>
      </c>
      <c r="D50" t="s">
        <v>295</v>
      </c>
      <c r="E50">
        <v>401</v>
      </c>
      <c r="F50">
        <v>4</v>
      </c>
      <c r="G50">
        <v>4</v>
      </c>
      <c r="H50" t="s">
        <v>129</v>
      </c>
      <c r="I50">
        <f t="shared" si="17"/>
        <v>527</v>
      </c>
      <c r="J50">
        <f t="shared" si="18"/>
        <v>530</v>
      </c>
      <c r="K50">
        <f t="shared" si="4"/>
        <v>16</v>
      </c>
      <c r="L50">
        <f t="shared" si="21"/>
        <v>38171</v>
      </c>
      <c r="N50" s="37">
        <v>0</v>
      </c>
      <c r="O50">
        <f t="shared" si="14"/>
        <v>4</v>
      </c>
      <c r="P50">
        <f t="shared" si="15"/>
        <v>4</v>
      </c>
      <c r="Q50">
        <f t="shared" si="16"/>
        <v>16</v>
      </c>
      <c r="R50">
        <f t="shared" si="19"/>
        <v>38311</v>
      </c>
      <c r="T50">
        <f t="shared" si="20"/>
        <v>38311</v>
      </c>
    </row>
    <row r="51" spans="1:20" x14ac:dyDescent="0.3">
      <c r="A51">
        <v>48</v>
      </c>
      <c r="B51" t="s">
        <v>95</v>
      </c>
      <c r="C51" cm="1">
        <f t="array" aca="1" ref="C51" ca="1">COLUMN(INDIRECT(D51 &amp; "1"))</f>
        <v>215</v>
      </c>
      <c r="D51" t="s">
        <v>296</v>
      </c>
      <c r="E51">
        <v>398</v>
      </c>
      <c r="F51">
        <v>13</v>
      </c>
      <c r="G51">
        <v>10</v>
      </c>
      <c r="H51" t="s">
        <v>108</v>
      </c>
      <c r="I51">
        <f t="shared" si="17"/>
        <v>531</v>
      </c>
      <c r="J51">
        <f t="shared" si="18"/>
        <v>530</v>
      </c>
      <c r="K51">
        <f t="shared" si="4"/>
        <v>130</v>
      </c>
      <c r="L51">
        <f t="shared" si="21"/>
        <v>38171</v>
      </c>
      <c r="N51" s="37">
        <v>1</v>
      </c>
      <c r="O51">
        <f t="shared" si="14"/>
        <v>0</v>
      </c>
      <c r="P51">
        <f t="shared" si="15"/>
        <v>0</v>
      </c>
      <c r="Q51">
        <f t="shared" si="16"/>
        <v>0</v>
      </c>
      <c r="R51">
        <f t="shared" si="19"/>
        <v>38327</v>
      </c>
      <c r="S51">
        <f>R40</f>
        <v>33589</v>
      </c>
      <c r="T51">
        <f t="shared" si="20"/>
        <v>33589</v>
      </c>
    </row>
    <row r="52" spans="1:20" x14ac:dyDescent="0.3">
      <c r="A52">
        <v>49</v>
      </c>
      <c r="B52" t="s">
        <v>109</v>
      </c>
      <c r="C52" cm="1">
        <f t="array" aca="1" ref="C52" ca="1">COLUMN(INDIRECT(D52 &amp; "1"))</f>
        <v>250</v>
      </c>
      <c r="D52" t="s">
        <v>297</v>
      </c>
      <c r="E52">
        <v>331</v>
      </c>
      <c r="F52">
        <v>44</v>
      </c>
      <c r="G52">
        <v>12</v>
      </c>
      <c r="H52" t="s">
        <v>110</v>
      </c>
      <c r="I52">
        <f t="shared" si="17"/>
        <v>531</v>
      </c>
      <c r="J52">
        <f t="shared" si="18"/>
        <v>542</v>
      </c>
      <c r="K52">
        <f t="shared" si="4"/>
        <v>528</v>
      </c>
      <c r="L52">
        <f t="shared" si="21"/>
        <v>38301</v>
      </c>
      <c r="N52" s="37">
        <v>0</v>
      </c>
      <c r="O52">
        <f t="shared" si="14"/>
        <v>44</v>
      </c>
      <c r="P52">
        <f t="shared" si="15"/>
        <v>12</v>
      </c>
      <c r="Q52">
        <f t="shared" si="16"/>
        <v>528</v>
      </c>
      <c r="R52">
        <f t="shared" si="19"/>
        <v>38327</v>
      </c>
      <c r="T52">
        <f t="shared" si="20"/>
        <v>38327</v>
      </c>
    </row>
    <row r="53" spans="1:20" x14ac:dyDescent="0.3">
      <c r="A53">
        <v>50</v>
      </c>
      <c r="B53" t="s">
        <v>112</v>
      </c>
      <c r="C53" cm="1">
        <f t="array" aca="1" ref="C53" ca="1">COLUMN(INDIRECT(D53 &amp; "1"))</f>
        <v>225</v>
      </c>
      <c r="D53" t="s">
        <v>298</v>
      </c>
      <c r="E53">
        <v>346</v>
      </c>
      <c r="F53">
        <v>96</v>
      </c>
      <c r="G53">
        <v>17</v>
      </c>
      <c r="H53" t="s">
        <v>113</v>
      </c>
      <c r="I53">
        <f t="shared" si="17"/>
        <v>543</v>
      </c>
      <c r="J53">
        <f t="shared" si="18"/>
        <v>559</v>
      </c>
      <c r="K53">
        <f t="shared" si="4"/>
        <v>1632</v>
      </c>
      <c r="L53">
        <f t="shared" si="21"/>
        <v>38829</v>
      </c>
      <c r="N53" s="37">
        <v>0</v>
      </c>
      <c r="O53">
        <f t="shared" si="14"/>
        <v>96</v>
      </c>
      <c r="P53">
        <f t="shared" si="15"/>
        <v>17</v>
      </c>
      <c r="Q53">
        <f t="shared" si="16"/>
        <v>1632</v>
      </c>
      <c r="R53">
        <f t="shared" si="19"/>
        <v>38855</v>
      </c>
      <c r="T53">
        <f t="shared" si="20"/>
        <v>38855</v>
      </c>
    </row>
    <row r="54" spans="1:20" x14ac:dyDescent="0.3">
      <c r="A54">
        <v>51</v>
      </c>
      <c r="B54" t="s">
        <v>114</v>
      </c>
      <c r="C54" cm="1">
        <f t="array" aca="1" ref="C54" ca="1">COLUMN(INDIRECT(D54 &amp; "1"))</f>
        <v>245</v>
      </c>
      <c r="D54" t="s">
        <v>299</v>
      </c>
      <c r="E54">
        <v>377</v>
      </c>
      <c r="F54">
        <v>55</v>
      </c>
      <c r="G54">
        <v>46</v>
      </c>
      <c r="H54" t="s">
        <v>115</v>
      </c>
      <c r="I54">
        <f t="shared" si="17"/>
        <v>560</v>
      </c>
      <c r="J54">
        <f t="shared" si="18"/>
        <v>605</v>
      </c>
      <c r="K54">
        <f t="shared" si="4"/>
        <v>2530</v>
      </c>
      <c r="L54">
        <f t="shared" si="21"/>
        <v>40461</v>
      </c>
      <c r="N54" s="37">
        <v>0</v>
      </c>
      <c r="O54">
        <f t="shared" si="14"/>
        <v>55</v>
      </c>
      <c r="P54">
        <f t="shared" si="15"/>
        <v>46</v>
      </c>
      <c r="Q54">
        <f t="shared" si="16"/>
        <v>2530</v>
      </c>
      <c r="R54">
        <f t="shared" si="19"/>
        <v>40487</v>
      </c>
      <c r="T54">
        <f t="shared" si="20"/>
        <v>40487</v>
      </c>
    </row>
    <row r="55" spans="1:20" x14ac:dyDescent="0.3">
      <c r="A55">
        <v>52</v>
      </c>
      <c r="B55" t="s">
        <v>116</v>
      </c>
      <c r="C55" cm="1">
        <f t="array" aca="1" ref="C55" ca="1">COLUMN(INDIRECT(D55 &amp; "1"))</f>
        <v>318</v>
      </c>
      <c r="D55" t="s">
        <v>140</v>
      </c>
      <c r="E55">
        <v>398</v>
      </c>
      <c r="F55">
        <v>13</v>
      </c>
      <c r="G55">
        <v>10</v>
      </c>
      <c r="H55" t="s">
        <v>117</v>
      </c>
      <c r="I55">
        <f t="shared" si="17"/>
        <v>606</v>
      </c>
      <c r="J55">
        <f t="shared" si="18"/>
        <v>605</v>
      </c>
      <c r="K55">
        <f t="shared" si="4"/>
        <v>130</v>
      </c>
      <c r="L55">
        <f t="shared" si="21"/>
        <v>40461</v>
      </c>
      <c r="N55" s="37">
        <v>1</v>
      </c>
      <c r="O55">
        <f t="shared" si="14"/>
        <v>0</v>
      </c>
      <c r="P55">
        <f t="shared" si="15"/>
        <v>0</v>
      </c>
      <c r="Q55">
        <f t="shared" si="16"/>
        <v>0</v>
      </c>
      <c r="R55">
        <f t="shared" si="19"/>
        <v>43017</v>
      </c>
      <c r="S55">
        <f>R40</f>
        <v>33589</v>
      </c>
      <c r="T55">
        <f t="shared" si="20"/>
        <v>33589</v>
      </c>
    </row>
    <row r="56" spans="1:20" x14ac:dyDescent="0.3">
      <c r="A56">
        <v>53</v>
      </c>
      <c r="B56" t="s">
        <v>118</v>
      </c>
      <c r="C56" cm="1">
        <f t="array" aca="1" ref="C56" ca="1">COLUMN(INDIRECT(D56 &amp; "1"))</f>
        <v>333</v>
      </c>
      <c r="D56" t="s">
        <v>300</v>
      </c>
      <c r="E56">
        <v>331</v>
      </c>
      <c r="F56">
        <v>55</v>
      </c>
      <c r="G56">
        <v>17</v>
      </c>
      <c r="H56" t="s">
        <v>130</v>
      </c>
      <c r="I56">
        <f t="shared" si="17"/>
        <v>606</v>
      </c>
      <c r="J56">
        <f t="shared" si="18"/>
        <v>622</v>
      </c>
      <c r="K56">
        <f t="shared" si="4"/>
        <v>935</v>
      </c>
      <c r="L56">
        <f t="shared" si="21"/>
        <v>40591</v>
      </c>
      <c r="N56" s="37">
        <v>0</v>
      </c>
      <c r="O56">
        <f t="shared" si="14"/>
        <v>55</v>
      </c>
      <c r="P56">
        <f t="shared" si="15"/>
        <v>17</v>
      </c>
      <c r="Q56">
        <f t="shared" si="16"/>
        <v>935</v>
      </c>
      <c r="R56">
        <f t="shared" si="19"/>
        <v>43017</v>
      </c>
      <c r="T56">
        <f t="shared" si="20"/>
        <v>43017</v>
      </c>
    </row>
    <row r="57" spans="1:20" x14ac:dyDescent="0.3">
      <c r="A57">
        <v>54</v>
      </c>
      <c r="B57" t="s">
        <v>119</v>
      </c>
      <c r="C57" cm="1">
        <f t="array" aca="1" ref="C57" ca="1">COLUMN(INDIRECT(D57 &amp; "1"))</f>
        <v>340</v>
      </c>
      <c r="D57" t="s">
        <v>301</v>
      </c>
      <c r="E57">
        <v>351</v>
      </c>
      <c r="F57">
        <v>42</v>
      </c>
      <c r="G57">
        <v>12</v>
      </c>
      <c r="H57" t="s">
        <v>131</v>
      </c>
      <c r="I57">
        <f t="shared" si="17"/>
        <v>623</v>
      </c>
      <c r="J57">
        <f t="shared" si="18"/>
        <v>634</v>
      </c>
      <c r="K57">
        <f t="shared" si="4"/>
        <v>504</v>
      </c>
      <c r="L57">
        <f t="shared" si="21"/>
        <v>41526</v>
      </c>
      <c r="N57" s="37">
        <v>0</v>
      </c>
      <c r="O57">
        <f t="shared" si="14"/>
        <v>42</v>
      </c>
      <c r="P57">
        <f t="shared" si="15"/>
        <v>12</v>
      </c>
      <c r="Q57">
        <f t="shared" si="16"/>
        <v>504</v>
      </c>
      <c r="R57">
        <f t="shared" si="19"/>
        <v>43952</v>
      </c>
      <c r="T57">
        <f t="shared" si="20"/>
        <v>43952</v>
      </c>
    </row>
    <row r="58" spans="1:20" x14ac:dyDescent="0.3">
      <c r="A58">
        <v>55</v>
      </c>
      <c r="B58" t="s">
        <v>120</v>
      </c>
      <c r="C58" cm="1">
        <f t="array" aca="1" ref="C58" ca="1">COLUMN(INDIRECT(D58 &amp; "1"))</f>
        <v>335</v>
      </c>
      <c r="D58" t="s">
        <v>302</v>
      </c>
      <c r="E58">
        <v>377</v>
      </c>
      <c r="F58">
        <v>55</v>
      </c>
      <c r="G58">
        <v>46</v>
      </c>
      <c r="H58" t="s">
        <v>132</v>
      </c>
      <c r="I58">
        <f t="shared" si="17"/>
        <v>635</v>
      </c>
      <c r="J58">
        <f t="shared" si="18"/>
        <v>680</v>
      </c>
      <c r="K58">
        <f t="shared" si="4"/>
        <v>2530</v>
      </c>
      <c r="L58">
        <f t="shared" si="21"/>
        <v>42030</v>
      </c>
      <c r="N58" s="37">
        <v>0</v>
      </c>
      <c r="O58">
        <f t="shared" si="14"/>
        <v>55</v>
      </c>
      <c r="P58">
        <f t="shared" si="15"/>
        <v>46</v>
      </c>
      <c r="Q58">
        <f t="shared" si="16"/>
        <v>2530</v>
      </c>
      <c r="R58">
        <f t="shared" si="19"/>
        <v>44456</v>
      </c>
      <c r="T58">
        <f t="shared" si="20"/>
        <v>44456</v>
      </c>
    </row>
    <row r="59" spans="1:20" x14ac:dyDescent="0.3">
      <c r="A59">
        <v>56</v>
      </c>
      <c r="B59" t="s">
        <v>133</v>
      </c>
      <c r="C59" cm="1">
        <f t="array" aca="1" ref="C59" ca="1">COLUMN(INDIRECT(D59 &amp; "1"))</f>
        <v>364</v>
      </c>
      <c r="D59" t="s">
        <v>205</v>
      </c>
      <c r="E59">
        <v>446</v>
      </c>
      <c r="F59">
        <v>10</v>
      </c>
      <c r="G59">
        <v>13</v>
      </c>
      <c r="H59" t="s">
        <v>134</v>
      </c>
      <c r="I59">
        <f t="shared" si="17"/>
        <v>681</v>
      </c>
      <c r="J59">
        <f t="shared" si="18"/>
        <v>693</v>
      </c>
      <c r="K59">
        <f t="shared" si="4"/>
        <v>130</v>
      </c>
      <c r="L59">
        <f t="shared" si="21"/>
        <v>44560</v>
      </c>
      <c r="N59" s="37">
        <v>0</v>
      </c>
      <c r="O59">
        <f t="shared" si="14"/>
        <v>10</v>
      </c>
      <c r="P59">
        <f t="shared" si="15"/>
        <v>13</v>
      </c>
      <c r="Q59">
        <f t="shared" si="16"/>
        <v>130</v>
      </c>
      <c r="R59">
        <f t="shared" si="19"/>
        <v>46986</v>
      </c>
      <c r="T59">
        <f t="shared" si="20"/>
        <v>46986</v>
      </c>
    </row>
    <row r="60" spans="1:20" x14ac:dyDescent="0.3">
      <c r="A60">
        <v>57</v>
      </c>
      <c r="B60" t="s">
        <v>135</v>
      </c>
      <c r="C60" cm="1">
        <f t="array" aca="1" ref="C60" ca="1">COLUMN(INDIRECT(D60 &amp; "1"))</f>
        <v>338</v>
      </c>
      <c r="D60" t="s">
        <v>138</v>
      </c>
      <c r="E60">
        <v>446</v>
      </c>
      <c r="F60">
        <v>10</v>
      </c>
      <c r="G60">
        <v>13</v>
      </c>
      <c r="H60" t="s">
        <v>136</v>
      </c>
      <c r="I60">
        <f t="shared" si="17"/>
        <v>694</v>
      </c>
      <c r="J60">
        <f t="shared" si="18"/>
        <v>693</v>
      </c>
      <c r="K60">
        <f t="shared" si="4"/>
        <v>130</v>
      </c>
      <c r="L60">
        <f t="shared" si="21"/>
        <v>44560</v>
      </c>
      <c r="N60" s="37">
        <v>1</v>
      </c>
      <c r="O60">
        <f t="shared" si="14"/>
        <v>0</v>
      </c>
      <c r="P60">
        <f t="shared" si="15"/>
        <v>0</v>
      </c>
      <c r="Q60">
        <f t="shared" si="16"/>
        <v>0</v>
      </c>
      <c r="R60">
        <f t="shared" si="19"/>
        <v>47116</v>
      </c>
      <c r="S60">
        <f>R59</f>
        <v>46986</v>
      </c>
      <c r="T60">
        <f t="shared" si="20"/>
        <v>46986</v>
      </c>
    </row>
    <row r="61" spans="1:20" x14ac:dyDescent="0.3">
      <c r="A61">
        <v>58</v>
      </c>
      <c r="B61" t="s">
        <v>137</v>
      </c>
      <c r="C61" cm="1">
        <f t="array" aca="1" ref="C61" ca="1">COLUMN(INDIRECT(D61 &amp; "1"))</f>
        <v>339</v>
      </c>
      <c r="D61" t="s">
        <v>131</v>
      </c>
      <c r="E61">
        <v>442</v>
      </c>
      <c r="F61">
        <v>6</v>
      </c>
      <c r="G61">
        <v>4</v>
      </c>
      <c r="H61" t="s">
        <v>138</v>
      </c>
      <c r="I61">
        <f t="shared" si="17"/>
        <v>694</v>
      </c>
      <c r="J61">
        <f t="shared" si="18"/>
        <v>693</v>
      </c>
      <c r="K61">
        <f t="shared" si="4"/>
        <v>24</v>
      </c>
      <c r="L61">
        <f t="shared" si="21"/>
        <v>44560</v>
      </c>
      <c r="N61" s="37">
        <v>1</v>
      </c>
      <c r="O61">
        <f t="shared" si="14"/>
        <v>0</v>
      </c>
      <c r="P61">
        <f t="shared" si="15"/>
        <v>0</v>
      </c>
      <c r="Q61">
        <f t="shared" si="16"/>
        <v>0</v>
      </c>
      <c r="R61">
        <f t="shared" si="19"/>
        <v>47116</v>
      </c>
      <c r="S61">
        <f>R49</f>
        <v>38287</v>
      </c>
      <c r="T61">
        <f t="shared" si="20"/>
        <v>38287</v>
      </c>
    </row>
    <row r="62" spans="1:20" x14ac:dyDescent="0.3">
      <c r="A62">
        <v>59</v>
      </c>
      <c r="B62" t="s">
        <v>139</v>
      </c>
      <c r="C62" cm="1">
        <f t="array" aca="1" ref="C62" ca="1">COLUMN(INDIRECT(D62 &amp; "1"))</f>
        <v>319</v>
      </c>
      <c r="D62" t="s">
        <v>303</v>
      </c>
      <c r="E62">
        <v>460</v>
      </c>
      <c r="F62">
        <v>67</v>
      </c>
      <c r="G62">
        <v>12</v>
      </c>
      <c r="H62" t="s">
        <v>140</v>
      </c>
      <c r="I62">
        <f t="shared" si="17"/>
        <v>694</v>
      </c>
      <c r="J62">
        <f t="shared" si="18"/>
        <v>705</v>
      </c>
      <c r="K62">
        <f t="shared" si="4"/>
        <v>804</v>
      </c>
      <c r="L62">
        <f t="shared" si="21"/>
        <v>44584</v>
      </c>
      <c r="N62" s="37">
        <v>0</v>
      </c>
      <c r="O62">
        <f t="shared" si="14"/>
        <v>67</v>
      </c>
      <c r="P62">
        <f t="shared" si="15"/>
        <v>12</v>
      </c>
      <c r="Q62">
        <f t="shared" si="16"/>
        <v>804</v>
      </c>
      <c r="R62">
        <f t="shared" si="19"/>
        <v>47116</v>
      </c>
      <c r="T62">
        <f t="shared" si="20"/>
        <v>47116</v>
      </c>
    </row>
    <row r="63" spans="1:20" x14ac:dyDescent="0.3">
      <c r="A63">
        <v>60</v>
      </c>
      <c r="B63" t="s">
        <v>141</v>
      </c>
      <c r="C63" cm="1">
        <f t="array" aca="1" ref="C63" ca="1">COLUMN(INDIRECT(D63 &amp; "1"))</f>
        <v>196</v>
      </c>
      <c r="D63" t="s">
        <v>304</v>
      </c>
      <c r="E63">
        <v>458</v>
      </c>
      <c r="F63">
        <v>92</v>
      </c>
      <c r="G63">
        <v>12</v>
      </c>
      <c r="H63" t="s">
        <v>142</v>
      </c>
      <c r="I63">
        <f t="shared" si="17"/>
        <v>706</v>
      </c>
      <c r="J63">
        <f t="shared" si="18"/>
        <v>717</v>
      </c>
      <c r="K63">
        <f t="shared" si="4"/>
        <v>1104</v>
      </c>
      <c r="L63">
        <f t="shared" si="21"/>
        <v>45388</v>
      </c>
      <c r="N63" s="37">
        <v>0</v>
      </c>
      <c r="O63">
        <f t="shared" si="14"/>
        <v>92</v>
      </c>
      <c r="P63">
        <f t="shared" si="15"/>
        <v>12</v>
      </c>
      <c r="Q63">
        <f t="shared" si="16"/>
        <v>1104</v>
      </c>
      <c r="R63">
        <f t="shared" si="19"/>
        <v>47920</v>
      </c>
      <c r="T63">
        <f t="shared" si="20"/>
        <v>47920</v>
      </c>
    </row>
    <row r="64" spans="1:20" x14ac:dyDescent="0.3">
      <c r="A64">
        <v>61</v>
      </c>
      <c r="B64" t="s">
        <v>143</v>
      </c>
      <c r="C64" cm="1">
        <f t="array" aca="1" ref="C64" ca="1">COLUMN(INDIRECT(D64 &amp; "1"))</f>
        <v>289</v>
      </c>
      <c r="D64" t="s">
        <v>305</v>
      </c>
      <c r="E64">
        <v>458</v>
      </c>
      <c r="F64">
        <v>10</v>
      </c>
      <c r="G64">
        <v>12</v>
      </c>
      <c r="H64" t="s">
        <v>179</v>
      </c>
      <c r="I64">
        <f t="shared" si="17"/>
        <v>718</v>
      </c>
      <c r="J64">
        <f t="shared" si="18"/>
        <v>729</v>
      </c>
      <c r="K64">
        <f t="shared" si="4"/>
        <v>120</v>
      </c>
      <c r="L64">
        <f t="shared" si="21"/>
        <v>46492</v>
      </c>
      <c r="N64" s="37">
        <v>0</v>
      </c>
      <c r="O64">
        <f t="shared" si="14"/>
        <v>10</v>
      </c>
      <c r="P64">
        <f t="shared" si="15"/>
        <v>12</v>
      </c>
      <c r="Q64">
        <f t="shared" si="16"/>
        <v>120</v>
      </c>
      <c r="R64">
        <f t="shared" si="19"/>
        <v>49024</v>
      </c>
      <c r="T64">
        <f t="shared" si="20"/>
        <v>49024</v>
      </c>
    </row>
    <row r="65" spans="1:20" x14ac:dyDescent="0.3">
      <c r="A65">
        <v>62</v>
      </c>
      <c r="B65" t="s">
        <v>144</v>
      </c>
      <c r="C65" cm="1">
        <f t="array" aca="1" ref="C65" ca="1">COLUMN(INDIRECT(D65 &amp; "1"))</f>
        <v>121</v>
      </c>
      <c r="D65" t="s">
        <v>290</v>
      </c>
      <c r="E65">
        <v>447</v>
      </c>
      <c r="F65">
        <v>36</v>
      </c>
      <c r="G65">
        <v>12</v>
      </c>
      <c r="H65" t="s">
        <v>100</v>
      </c>
      <c r="I65">
        <f t="shared" si="17"/>
        <v>730</v>
      </c>
      <c r="J65">
        <f t="shared" si="18"/>
        <v>741</v>
      </c>
      <c r="K65">
        <f t="shared" si="4"/>
        <v>432</v>
      </c>
      <c r="L65">
        <f t="shared" si="21"/>
        <v>46612</v>
      </c>
      <c r="N65" s="37">
        <v>0</v>
      </c>
      <c r="O65">
        <f t="shared" si="14"/>
        <v>36</v>
      </c>
      <c r="P65">
        <f t="shared" si="15"/>
        <v>12</v>
      </c>
      <c r="Q65">
        <f t="shared" si="16"/>
        <v>432</v>
      </c>
      <c r="R65">
        <f t="shared" si="19"/>
        <v>49144</v>
      </c>
      <c r="T65">
        <f t="shared" si="20"/>
        <v>49144</v>
      </c>
    </row>
    <row r="66" spans="1:20" x14ac:dyDescent="0.3">
      <c r="A66">
        <v>63</v>
      </c>
      <c r="B66" t="s">
        <v>145</v>
      </c>
      <c r="C66" cm="1">
        <f t="array" aca="1" ref="C66" ca="1">COLUMN(INDIRECT(D66 &amp; "1"))</f>
        <v>158</v>
      </c>
      <c r="D66" t="s">
        <v>306</v>
      </c>
      <c r="E66">
        <v>447</v>
      </c>
      <c r="F66">
        <v>10</v>
      </c>
      <c r="G66">
        <v>12</v>
      </c>
      <c r="H66" t="s">
        <v>178</v>
      </c>
      <c r="I66">
        <f t="shared" si="17"/>
        <v>742</v>
      </c>
      <c r="J66">
        <f t="shared" si="18"/>
        <v>741</v>
      </c>
      <c r="K66">
        <f t="shared" si="4"/>
        <v>120</v>
      </c>
      <c r="L66">
        <f t="shared" si="21"/>
        <v>46612</v>
      </c>
      <c r="N66" s="37">
        <v>1</v>
      </c>
      <c r="O66">
        <f t="shared" ref="O66:O86" si="22">IF(NOT($N66), F66, 0)</f>
        <v>0</v>
      </c>
      <c r="P66">
        <f t="shared" ref="P66:P84" si="23">IF(NOT($N66), G66, 0)</f>
        <v>0</v>
      </c>
      <c r="Q66">
        <f t="shared" ref="Q66:Q84" si="24">O66*P66</f>
        <v>0</v>
      </c>
      <c r="R66">
        <f t="shared" si="19"/>
        <v>49576</v>
      </c>
      <c r="S66">
        <f>R64</f>
        <v>49024</v>
      </c>
      <c r="T66">
        <f t="shared" si="20"/>
        <v>49024</v>
      </c>
    </row>
    <row r="67" spans="1:20" x14ac:dyDescent="0.3">
      <c r="A67">
        <v>64</v>
      </c>
      <c r="B67" t="s">
        <v>171</v>
      </c>
      <c r="C67" cm="1">
        <f t="array" aca="1" ref="C67" ca="1">COLUMN(INDIRECT(D67 &amp; "1"))</f>
        <v>78</v>
      </c>
      <c r="D67" t="s">
        <v>283</v>
      </c>
      <c r="E67">
        <v>471</v>
      </c>
      <c r="F67">
        <v>4</v>
      </c>
      <c r="G67">
        <v>4</v>
      </c>
      <c r="H67" t="s">
        <v>90</v>
      </c>
      <c r="I67">
        <f t="shared" si="17"/>
        <v>742</v>
      </c>
      <c r="J67">
        <f t="shared" si="18"/>
        <v>745</v>
      </c>
      <c r="K67">
        <f t="shared" si="4"/>
        <v>16</v>
      </c>
      <c r="L67">
        <f t="shared" si="21"/>
        <v>46732</v>
      </c>
      <c r="N67" s="37">
        <v>0</v>
      </c>
      <c r="O67">
        <f t="shared" si="22"/>
        <v>4</v>
      </c>
      <c r="P67">
        <f t="shared" si="23"/>
        <v>4</v>
      </c>
      <c r="Q67">
        <f t="shared" si="24"/>
        <v>16</v>
      </c>
      <c r="R67">
        <f t="shared" si="19"/>
        <v>49576</v>
      </c>
      <c r="T67">
        <f t="shared" si="20"/>
        <v>49576</v>
      </c>
    </row>
    <row r="68" spans="1:20" x14ac:dyDescent="0.3">
      <c r="A68">
        <v>65</v>
      </c>
      <c r="B68" t="s">
        <v>147</v>
      </c>
      <c r="C68" cm="1">
        <f t="array" aca="1" ref="C68" ca="1">COLUMN(INDIRECT(D68 &amp; "1"))</f>
        <v>75</v>
      </c>
      <c r="D68" t="s">
        <v>307</v>
      </c>
      <c r="E68">
        <v>458</v>
      </c>
      <c r="F68">
        <v>10</v>
      </c>
      <c r="G68">
        <v>13</v>
      </c>
      <c r="H68" t="s">
        <v>146</v>
      </c>
      <c r="I68">
        <f t="shared" ref="I68:I75" si="25">J67+1</f>
        <v>746</v>
      </c>
      <c r="J68">
        <f t="shared" si="18"/>
        <v>758</v>
      </c>
      <c r="K68">
        <f t="shared" ref="K68:K75" si="26">F68*G68</f>
        <v>130</v>
      </c>
      <c r="L68">
        <f t="shared" si="21"/>
        <v>46748</v>
      </c>
      <c r="N68" s="37">
        <v>0</v>
      </c>
      <c r="O68">
        <f t="shared" si="22"/>
        <v>10</v>
      </c>
      <c r="P68">
        <f t="shared" si="23"/>
        <v>13</v>
      </c>
      <c r="Q68">
        <f t="shared" si="24"/>
        <v>130</v>
      </c>
      <c r="R68">
        <f t="shared" si="19"/>
        <v>49592</v>
      </c>
      <c r="T68">
        <f t="shared" si="20"/>
        <v>49592</v>
      </c>
    </row>
    <row r="69" spans="1:20" x14ac:dyDescent="0.3">
      <c r="A69">
        <v>66</v>
      </c>
      <c r="B69" t="s">
        <v>148</v>
      </c>
      <c r="C69" cm="1">
        <f t="array" aca="1" ref="C69" ca="1">COLUMN(INDIRECT(D69 &amp; "1"))</f>
        <v>86</v>
      </c>
      <c r="D69" t="s">
        <v>308</v>
      </c>
      <c r="E69">
        <v>396</v>
      </c>
      <c r="F69">
        <v>3</v>
      </c>
      <c r="G69">
        <v>12</v>
      </c>
      <c r="H69" t="s">
        <v>46</v>
      </c>
      <c r="I69">
        <f t="shared" si="25"/>
        <v>759</v>
      </c>
      <c r="J69">
        <f t="shared" si="18"/>
        <v>770</v>
      </c>
      <c r="K69">
        <f t="shared" si="26"/>
        <v>36</v>
      </c>
      <c r="L69">
        <f t="shared" si="21"/>
        <v>46878</v>
      </c>
      <c r="N69" s="37">
        <v>0</v>
      </c>
      <c r="O69">
        <f t="shared" si="22"/>
        <v>3</v>
      </c>
      <c r="P69">
        <f t="shared" si="23"/>
        <v>12</v>
      </c>
      <c r="Q69">
        <f t="shared" si="24"/>
        <v>36</v>
      </c>
      <c r="R69">
        <f t="shared" si="19"/>
        <v>49722</v>
      </c>
      <c r="T69">
        <f t="shared" si="20"/>
        <v>49722</v>
      </c>
    </row>
    <row r="70" spans="1:20" x14ac:dyDescent="0.3">
      <c r="A70">
        <v>67</v>
      </c>
      <c r="B70" t="s">
        <v>149</v>
      </c>
      <c r="C70" cm="1">
        <f t="array" aca="1" ref="C70" ca="1">COLUMN(INDIRECT(D70 &amp; "1"))</f>
        <v>401</v>
      </c>
      <c r="D70" t="s">
        <v>309</v>
      </c>
      <c r="E70">
        <v>465</v>
      </c>
      <c r="F70">
        <v>4</v>
      </c>
      <c r="G70">
        <v>4</v>
      </c>
      <c r="H70" t="s">
        <v>150</v>
      </c>
      <c r="I70">
        <f t="shared" si="25"/>
        <v>771</v>
      </c>
      <c r="J70">
        <f t="shared" si="18"/>
        <v>774</v>
      </c>
      <c r="K70">
        <f t="shared" si="26"/>
        <v>16</v>
      </c>
      <c r="L70">
        <f t="shared" si="21"/>
        <v>46914</v>
      </c>
      <c r="N70" s="37">
        <v>0</v>
      </c>
      <c r="O70">
        <f t="shared" si="22"/>
        <v>4</v>
      </c>
      <c r="P70">
        <f t="shared" si="23"/>
        <v>4</v>
      </c>
      <c r="Q70">
        <f t="shared" si="24"/>
        <v>16</v>
      </c>
      <c r="R70">
        <f t="shared" si="19"/>
        <v>49758</v>
      </c>
      <c r="T70">
        <f t="shared" si="20"/>
        <v>49758</v>
      </c>
    </row>
    <row r="71" spans="1:20" x14ac:dyDescent="0.3">
      <c r="A71">
        <v>68</v>
      </c>
      <c r="B71" t="s">
        <v>151</v>
      </c>
      <c r="C71" cm="1">
        <f t="array" aca="1" ref="C71" ca="1">COLUMN(INDIRECT(D71 &amp; "1"))</f>
        <v>401</v>
      </c>
      <c r="D71" t="s">
        <v>309</v>
      </c>
      <c r="E71">
        <v>401</v>
      </c>
      <c r="F71">
        <v>4</v>
      </c>
      <c r="G71">
        <v>4</v>
      </c>
      <c r="H71" t="s">
        <v>150</v>
      </c>
      <c r="I71">
        <f t="shared" si="25"/>
        <v>775</v>
      </c>
      <c r="J71">
        <f t="shared" ref="J71:J75" si="27">I71+P71-1</f>
        <v>778</v>
      </c>
      <c r="K71">
        <f t="shared" si="26"/>
        <v>16</v>
      </c>
      <c r="L71">
        <f t="shared" si="21"/>
        <v>46930</v>
      </c>
      <c r="N71" s="37">
        <v>0</v>
      </c>
      <c r="O71">
        <f t="shared" si="22"/>
        <v>4</v>
      </c>
      <c r="P71">
        <f t="shared" si="23"/>
        <v>4</v>
      </c>
      <c r="Q71">
        <f t="shared" si="24"/>
        <v>16</v>
      </c>
      <c r="R71">
        <f t="shared" ref="R71:R75" si="28">R70+Q70</f>
        <v>49774</v>
      </c>
      <c r="T71">
        <f t="shared" si="20"/>
        <v>49774</v>
      </c>
    </row>
    <row r="72" spans="1:20" x14ac:dyDescent="0.3">
      <c r="A72">
        <v>69</v>
      </c>
      <c r="B72" t="s">
        <v>152</v>
      </c>
      <c r="C72" cm="1">
        <f t="array" aca="1" ref="C72" ca="1">COLUMN(INDIRECT(D72 &amp; "1"))</f>
        <v>405</v>
      </c>
      <c r="D72" t="s">
        <v>310</v>
      </c>
      <c r="E72">
        <v>398</v>
      </c>
      <c r="F72">
        <v>13</v>
      </c>
      <c r="G72">
        <v>10</v>
      </c>
      <c r="H72" t="s">
        <v>154</v>
      </c>
      <c r="I72">
        <f t="shared" si="25"/>
        <v>779</v>
      </c>
      <c r="J72">
        <f t="shared" si="27"/>
        <v>778</v>
      </c>
      <c r="K72">
        <f t="shared" si="26"/>
        <v>130</v>
      </c>
      <c r="L72">
        <f t="shared" si="21"/>
        <v>46930</v>
      </c>
      <c r="N72" s="37">
        <v>1</v>
      </c>
      <c r="O72">
        <f t="shared" si="22"/>
        <v>0</v>
      </c>
      <c r="P72">
        <f t="shared" si="23"/>
        <v>0</v>
      </c>
      <c r="Q72">
        <f t="shared" si="24"/>
        <v>0</v>
      </c>
      <c r="R72">
        <f t="shared" si="28"/>
        <v>49790</v>
      </c>
      <c r="S72">
        <f>R40</f>
        <v>33589</v>
      </c>
      <c r="T72">
        <f t="shared" si="20"/>
        <v>33589</v>
      </c>
    </row>
    <row r="73" spans="1:20" x14ac:dyDescent="0.3">
      <c r="A73">
        <v>70</v>
      </c>
      <c r="B73" t="s">
        <v>155</v>
      </c>
      <c r="C73" cm="1">
        <f t="array" aca="1" ref="C73" ca="1">COLUMN(INDIRECT(D73 &amp; "1"))</f>
        <v>426</v>
      </c>
      <c r="D73" t="s">
        <v>311</v>
      </c>
      <c r="E73">
        <v>331</v>
      </c>
      <c r="F73">
        <v>42</v>
      </c>
      <c r="G73">
        <v>12</v>
      </c>
      <c r="H73" t="s">
        <v>158</v>
      </c>
      <c r="I73">
        <f t="shared" si="25"/>
        <v>779</v>
      </c>
      <c r="J73">
        <f t="shared" si="27"/>
        <v>790</v>
      </c>
      <c r="K73">
        <f t="shared" si="26"/>
        <v>504</v>
      </c>
      <c r="L73">
        <f t="shared" si="21"/>
        <v>47060</v>
      </c>
      <c r="N73" s="37">
        <v>0</v>
      </c>
      <c r="O73">
        <f t="shared" si="22"/>
        <v>42</v>
      </c>
      <c r="P73">
        <f t="shared" si="23"/>
        <v>12</v>
      </c>
      <c r="Q73">
        <f t="shared" si="24"/>
        <v>504</v>
      </c>
      <c r="R73">
        <f t="shared" si="28"/>
        <v>49790</v>
      </c>
      <c r="T73">
        <f t="shared" si="20"/>
        <v>49790</v>
      </c>
    </row>
    <row r="74" spans="1:20" x14ac:dyDescent="0.3">
      <c r="A74">
        <v>71</v>
      </c>
      <c r="B74" t="s">
        <v>156</v>
      </c>
      <c r="C74" cm="1">
        <f t="array" aca="1" ref="C74" ca="1">COLUMN(INDIRECT(D74 &amp; "1"))</f>
        <v>433</v>
      </c>
      <c r="D74" t="s">
        <v>312</v>
      </c>
      <c r="E74">
        <v>346</v>
      </c>
      <c r="F74">
        <v>29</v>
      </c>
      <c r="G74">
        <v>12</v>
      </c>
      <c r="H74" t="s">
        <v>159</v>
      </c>
      <c r="I74">
        <f t="shared" si="25"/>
        <v>791</v>
      </c>
      <c r="J74">
        <f t="shared" si="27"/>
        <v>802</v>
      </c>
      <c r="K74">
        <f t="shared" si="26"/>
        <v>348</v>
      </c>
      <c r="L74">
        <f t="shared" si="21"/>
        <v>47564</v>
      </c>
      <c r="N74" s="37">
        <v>0</v>
      </c>
      <c r="O74">
        <f t="shared" si="22"/>
        <v>29</v>
      </c>
      <c r="P74">
        <f t="shared" si="23"/>
        <v>12</v>
      </c>
      <c r="Q74">
        <f t="shared" si="24"/>
        <v>348</v>
      </c>
      <c r="R74">
        <f t="shared" si="28"/>
        <v>50294</v>
      </c>
      <c r="T74">
        <f t="shared" si="20"/>
        <v>50294</v>
      </c>
    </row>
    <row r="75" spans="1:20" x14ac:dyDescent="0.3">
      <c r="A75">
        <v>72</v>
      </c>
      <c r="B75" t="s">
        <v>157</v>
      </c>
      <c r="C75" cm="1">
        <f t="array" aca="1" ref="C75" ca="1">COLUMN(INDIRECT(D75 &amp; "1"))</f>
        <v>422</v>
      </c>
      <c r="D75" t="s">
        <v>313</v>
      </c>
      <c r="E75">
        <v>361</v>
      </c>
      <c r="F75">
        <v>50</v>
      </c>
      <c r="G75">
        <v>12</v>
      </c>
      <c r="H75" t="s">
        <v>160</v>
      </c>
      <c r="I75">
        <f t="shared" si="25"/>
        <v>803</v>
      </c>
      <c r="J75">
        <f t="shared" si="27"/>
        <v>814</v>
      </c>
      <c r="K75">
        <f t="shared" si="26"/>
        <v>600</v>
      </c>
      <c r="L75">
        <f t="shared" si="21"/>
        <v>47912</v>
      </c>
      <c r="N75" s="37">
        <v>0</v>
      </c>
      <c r="O75">
        <f t="shared" si="22"/>
        <v>50</v>
      </c>
      <c r="P75">
        <f t="shared" si="23"/>
        <v>12</v>
      </c>
      <c r="Q75">
        <f t="shared" si="24"/>
        <v>600</v>
      </c>
      <c r="R75">
        <f t="shared" si="28"/>
        <v>50642</v>
      </c>
      <c r="T75">
        <f t="shared" si="20"/>
        <v>50642</v>
      </c>
    </row>
    <row r="76" spans="1:20" x14ac:dyDescent="0.3">
      <c r="A76">
        <v>73</v>
      </c>
      <c r="B76" t="s">
        <v>161</v>
      </c>
      <c r="C76" cm="1">
        <f t="array" aca="1" ref="C76" ca="1">COLUMN(INDIRECT(D76 &amp; "1"))</f>
        <v>410</v>
      </c>
      <c r="D76" t="s">
        <v>63</v>
      </c>
      <c r="E76">
        <v>459</v>
      </c>
      <c r="F76">
        <v>92</v>
      </c>
      <c r="G76">
        <v>12</v>
      </c>
      <c r="H76" t="s">
        <v>162</v>
      </c>
      <c r="I76">
        <f t="shared" ref="I76:I85" si="29">J75+1</f>
        <v>815</v>
      </c>
      <c r="J76">
        <f t="shared" ref="J76:J87" si="30">I76+P76-1</f>
        <v>814</v>
      </c>
      <c r="K76">
        <f t="shared" ref="K76:K87" si="31">F76*G76</f>
        <v>1104</v>
      </c>
      <c r="L76">
        <f t="shared" ref="L76:L87" si="32">IF(NOT(N76), L75+K75, L75)</f>
        <v>47912</v>
      </c>
      <c r="N76" s="37">
        <v>1</v>
      </c>
      <c r="O76">
        <f t="shared" si="22"/>
        <v>0</v>
      </c>
      <c r="P76">
        <f t="shared" si="23"/>
        <v>0</v>
      </c>
      <c r="Q76">
        <f t="shared" si="24"/>
        <v>0</v>
      </c>
      <c r="R76">
        <f t="shared" ref="R76:R90" si="33">R75+Q75</f>
        <v>51242</v>
      </c>
      <c r="S76">
        <f>R63</f>
        <v>47920</v>
      </c>
      <c r="T76">
        <f t="shared" si="20"/>
        <v>47920</v>
      </c>
    </row>
    <row r="77" spans="1:20" x14ac:dyDescent="0.3">
      <c r="A77">
        <v>74</v>
      </c>
      <c r="B77" t="s">
        <v>163</v>
      </c>
      <c r="C77" cm="1">
        <f t="array" aca="1" ref="C77" ca="1">COLUMN(INDIRECT(D77 &amp; "1"))</f>
        <v>504</v>
      </c>
      <c r="D77" t="s">
        <v>314</v>
      </c>
      <c r="E77">
        <v>459</v>
      </c>
      <c r="F77">
        <v>3</v>
      </c>
      <c r="G77">
        <v>12</v>
      </c>
      <c r="H77" t="s">
        <v>180</v>
      </c>
      <c r="I77">
        <f t="shared" si="29"/>
        <v>815</v>
      </c>
      <c r="J77">
        <f t="shared" si="30"/>
        <v>814</v>
      </c>
      <c r="K77">
        <f t="shared" si="31"/>
        <v>36</v>
      </c>
      <c r="L77">
        <f t="shared" si="32"/>
        <v>47912</v>
      </c>
      <c r="N77" s="37">
        <v>1</v>
      </c>
      <c r="O77">
        <f t="shared" si="22"/>
        <v>0</v>
      </c>
      <c r="P77">
        <f t="shared" si="23"/>
        <v>0</v>
      </c>
      <c r="Q77">
        <f t="shared" si="24"/>
        <v>0</v>
      </c>
      <c r="R77">
        <f t="shared" si="33"/>
        <v>51242</v>
      </c>
      <c r="S77">
        <f>R69</f>
        <v>49722</v>
      </c>
      <c r="T77">
        <f t="shared" si="20"/>
        <v>49722</v>
      </c>
    </row>
    <row r="78" spans="1:20" x14ac:dyDescent="0.3">
      <c r="A78">
        <v>75</v>
      </c>
      <c r="B78" t="s">
        <v>153</v>
      </c>
      <c r="C78" cm="1">
        <f t="array" aca="1" ref="C78" ca="1">COLUMN(INDIRECT(D78 &amp; "1"))</f>
        <v>490</v>
      </c>
      <c r="D78" t="s">
        <v>315</v>
      </c>
      <c r="E78">
        <v>398</v>
      </c>
      <c r="F78">
        <v>13</v>
      </c>
      <c r="G78">
        <v>10</v>
      </c>
      <c r="H78" t="s">
        <v>164</v>
      </c>
      <c r="I78">
        <f t="shared" si="29"/>
        <v>815</v>
      </c>
      <c r="J78">
        <f t="shared" si="30"/>
        <v>814</v>
      </c>
      <c r="K78">
        <f t="shared" si="31"/>
        <v>130</v>
      </c>
      <c r="L78">
        <f t="shared" si="32"/>
        <v>47912</v>
      </c>
      <c r="N78" s="37">
        <v>1</v>
      </c>
      <c r="O78">
        <f t="shared" si="22"/>
        <v>0</v>
      </c>
      <c r="P78">
        <f t="shared" si="23"/>
        <v>0</v>
      </c>
      <c r="Q78">
        <f t="shared" si="24"/>
        <v>0</v>
      </c>
      <c r="R78">
        <f t="shared" si="33"/>
        <v>51242</v>
      </c>
      <c r="S78">
        <f>R40</f>
        <v>33589</v>
      </c>
      <c r="T78">
        <f t="shared" si="20"/>
        <v>33589</v>
      </c>
    </row>
    <row r="79" spans="1:20" x14ac:dyDescent="0.3">
      <c r="A79">
        <v>76</v>
      </c>
      <c r="B79" t="s">
        <v>165</v>
      </c>
      <c r="C79" cm="1">
        <f t="array" aca="1" ref="C79" ca="1">COLUMN(INDIRECT(D79 &amp; "1"))</f>
        <v>510</v>
      </c>
      <c r="D79" t="s">
        <v>190</v>
      </c>
      <c r="E79">
        <v>331</v>
      </c>
      <c r="F79">
        <v>74</v>
      </c>
      <c r="G79">
        <v>18</v>
      </c>
      <c r="H79" t="s">
        <v>166</v>
      </c>
      <c r="I79">
        <f t="shared" si="29"/>
        <v>815</v>
      </c>
      <c r="J79">
        <f t="shared" si="30"/>
        <v>832</v>
      </c>
      <c r="K79">
        <f t="shared" si="31"/>
        <v>1332</v>
      </c>
      <c r="L79">
        <f t="shared" si="32"/>
        <v>48042</v>
      </c>
      <c r="N79" s="37">
        <v>0</v>
      </c>
      <c r="O79">
        <f t="shared" si="22"/>
        <v>74</v>
      </c>
      <c r="P79">
        <f t="shared" si="23"/>
        <v>18</v>
      </c>
      <c r="Q79">
        <f t="shared" si="24"/>
        <v>1332</v>
      </c>
      <c r="R79">
        <f t="shared" si="33"/>
        <v>51242</v>
      </c>
      <c r="T79">
        <f t="shared" si="20"/>
        <v>51242</v>
      </c>
    </row>
    <row r="80" spans="1:20" x14ac:dyDescent="0.3">
      <c r="A80">
        <v>77</v>
      </c>
      <c r="B80" t="s">
        <v>167</v>
      </c>
      <c r="C80" cm="1">
        <f t="array" aca="1" ref="C80" ca="1">COLUMN(INDIRECT(D80 &amp; "1"))</f>
        <v>532</v>
      </c>
      <c r="D80" t="s">
        <v>316</v>
      </c>
      <c r="E80">
        <v>352</v>
      </c>
      <c r="F80">
        <v>30</v>
      </c>
      <c r="G80">
        <v>12</v>
      </c>
      <c r="H80" t="s">
        <v>168</v>
      </c>
      <c r="I80">
        <f t="shared" si="29"/>
        <v>833</v>
      </c>
      <c r="J80">
        <f t="shared" si="30"/>
        <v>844</v>
      </c>
      <c r="K80">
        <f t="shared" si="31"/>
        <v>360</v>
      </c>
      <c r="L80">
        <f t="shared" si="32"/>
        <v>49374</v>
      </c>
      <c r="N80" s="37">
        <v>0</v>
      </c>
      <c r="O80">
        <f t="shared" si="22"/>
        <v>30</v>
      </c>
      <c r="P80">
        <f t="shared" si="23"/>
        <v>12</v>
      </c>
      <c r="Q80">
        <f t="shared" si="24"/>
        <v>360</v>
      </c>
      <c r="R80">
        <f t="shared" si="33"/>
        <v>52574</v>
      </c>
      <c r="T80">
        <f t="shared" si="20"/>
        <v>52574</v>
      </c>
    </row>
    <row r="81" spans="1:20" x14ac:dyDescent="0.3">
      <c r="A81">
        <v>78</v>
      </c>
      <c r="B81" t="s">
        <v>186</v>
      </c>
      <c r="C81" cm="1">
        <f t="array" aca="1" ref="C81" ca="1">COLUMN(INDIRECT(D81 &amp; "1"))</f>
        <v>511</v>
      </c>
      <c r="D81" t="s">
        <v>317</v>
      </c>
      <c r="E81">
        <v>394</v>
      </c>
      <c r="F81">
        <v>3</v>
      </c>
      <c r="G81">
        <v>18</v>
      </c>
      <c r="H81" t="s">
        <v>190</v>
      </c>
      <c r="I81">
        <f t="shared" si="29"/>
        <v>845</v>
      </c>
      <c r="J81">
        <f t="shared" si="30"/>
        <v>862</v>
      </c>
      <c r="K81">
        <f t="shared" si="31"/>
        <v>54</v>
      </c>
      <c r="L81">
        <f t="shared" si="32"/>
        <v>49734</v>
      </c>
      <c r="N81" s="37">
        <v>0</v>
      </c>
      <c r="O81">
        <f t="shared" si="22"/>
        <v>3</v>
      </c>
      <c r="P81">
        <f t="shared" si="23"/>
        <v>18</v>
      </c>
      <c r="Q81">
        <f t="shared" si="24"/>
        <v>54</v>
      </c>
      <c r="R81">
        <f t="shared" si="33"/>
        <v>52934</v>
      </c>
      <c r="T81">
        <f t="shared" si="20"/>
        <v>52934</v>
      </c>
    </row>
    <row r="82" spans="1:20" x14ac:dyDescent="0.3">
      <c r="A82">
        <v>79</v>
      </c>
      <c r="B82" t="s">
        <v>187</v>
      </c>
      <c r="C82" cm="1">
        <f t="array" aca="1" ref="C82" ca="1">COLUMN(INDIRECT(D82 &amp; "1"))</f>
        <v>529</v>
      </c>
      <c r="D82" t="s">
        <v>318</v>
      </c>
      <c r="E82">
        <v>394</v>
      </c>
      <c r="F82">
        <v>13</v>
      </c>
      <c r="G82">
        <v>18</v>
      </c>
      <c r="H82" t="s">
        <v>185</v>
      </c>
      <c r="I82">
        <f t="shared" si="29"/>
        <v>863</v>
      </c>
      <c r="J82">
        <f t="shared" si="30"/>
        <v>880</v>
      </c>
      <c r="K82">
        <f t="shared" si="31"/>
        <v>234</v>
      </c>
      <c r="L82">
        <f t="shared" si="32"/>
        <v>49788</v>
      </c>
      <c r="N82" s="37">
        <v>0</v>
      </c>
      <c r="O82">
        <f t="shared" si="22"/>
        <v>13</v>
      </c>
      <c r="P82">
        <f t="shared" si="23"/>
        <v>18</v>
      </c>
      <c r="Q82">
        <f t="shared" si="24"/>
        <v>234</v>
      </c>
      <c r="R82">
        <f t="shared" si="33"/>
        <v>52988</v>
      </c>
      <c r="T82">
        <f t="shared" si="20"/>
        <v>52988</v>
      </c>
    </row>
    <row r="83" spans="1:20" x14ac:dyDescent="0.3">
      <c r="A83">
        <v>80</v>
      </c>
      <c r="B83" t="s">
        <v>188</v>
      </c>
      <c r="C83" cm="1">
        <f t="array" aca="1" ref="C83" ca="1">COLUMN(INDIRECT(D83 &amp; "1"))</f>
        <v>553</v>
      </c>
      <c r="D83" t="s">
        <v>319</v>
      </c>
      <c r="E83">
        <v>394</v>
      </c>
      <c r="F83">
        <v>11</v>
      </c>
      <c r="G83">
        <v>18</v>
      </c>
      <c r="H83" t="s">
        <v>191</v>
      </c>
      <c r="I83">
        <f t="shared" si="29"/>
        <v>881</v>
      </c>
      <c r="J83">
        <f t="shared" si="30"/>
        <v>898</v>
      </c>
      <c r="K83">
        <f t="shared" si="31"/>
        <v>198</v>
      </c>
      <c r="L83">
        <f t="shared" si="32"/>
        <v>50022</v>
      </c>
      <c r="N83" s="37">
        <v>0</v>
      </c>
      <c r="O83">
        <f t="shared" si="22"/>
        <v>11</v>
      </c>
      <c r="P83">
        <f t="shared" si="23"/>
        <v>18</v>
      </c>
      <c r="Q83">
        <f t="shared" si="24"/>
        <v>198</v>
      </c>
      <c r="R83">
        <f t="shared" si="33"/>
        <v>53222</v>
      </c>
      <c r="T83">
        <f t="shared" si="20"/>
        <v>53222</v>
      </c>
    </row>
    <row r="84" spans="1:20" x14ac:dyDescent="0.3">
      <c r="A84">
        <v>81</v>
      </c>
      <c r="B84" t="s">
        <v>189</v>
      </c>
      <c r="C84" cm="1">
        <f t="array" aca="1" ref="C84" ca="1">COLUMN(INDIRECT(D84 &amp; "1"))</f>
        <v>575</v>
      </c>
      <c r="D84" t="s">
        <v>320</v>
      </c>
      <c r="E84">
        <v>394</v>
      </c>
      <c r="F84">
        <v>15</v>
      </c>
      <c r="G84">
        <v>18</v>
      </c>
      <c r="H84" t="s">
        <v>192</v>
      </c>
      <c r="I84">
        <f t="shared" si="29"/>
        <v>899</v>
      </c>
      <c r="J84">
        <f t="shared" si="30"/>
        <v>916</v>
      </c>
      <c r="K84">
        <f t="shared" si="31"/>
        <v>270</v>
      </c>
      <c r="L84">
        <f t="shared" si="32"/>
        <v>50220</v>
      </c>
      <c r="N84" s="37">
        <v>0</v>
      </c>
      <c r="O84">
        <f t="shared" si="22"/>
        <v>15</v>
      </c>
      <c r="P84">
        <f t="shared" si="23"/>
        <v>18</v>
      </c>
      <c r="Q84">
        <f t="shared" si="24"/>
        <v>270</v>
      </c>
      <c r="R84">
        <f t="shared" si="33"/>
        <v>53420</v>
      </c>
      <c r="T84">
        <f t="shared" si="20"/>
        <v>53420</v>
      </c>
    </row>
    <row r="85" spans="1:20" x14ac:dyDescent="0.3">
      <c r="A85">
        <v>82</v>
      </c>
      <c r="B85" t="s">
        <v>193</v>
      </c>
      <c r="C85" cm="1">
        <f t="array" aca="1" ref="C85" ca="1">COLUMN(INDIRECT(D85 &amp; "1"))</f>
        <v>426</v>
      </c>
      <c r="D85" t="s">
        <v>311</v>
      </c>
      <c r="E85">
        <v>390</v>
      </c>
      <c r="F85">
        <v>20</v>
      </c>
      <c r="G85">
        <v>23</v>
      </c>
      <c r="H85" t="s">
        <v>158</v>
      </c>
      <c r="I85">
        <f t="shared" si="29"/>
        <v>917</v>
      </c>
      <c r="J85">
        <f t="shared" si="30"/>
        <v>939</v>
      </c>
      <c r="K85">
        <f t="shared" si="31"/>
        <v>460</v>
      </c>
      <c r="L85">
        <f t="shared" si="32"/>
        <v>50490</v>
      </c>
      <c r="N85" s="37">
        <v>0</v>
      </c>
      <c r="O85">
        <f t="shared" si="22"/>
        <v>20</v>
      </c>
      <c r="P85">
        <f>IF(NOT($N85), G85, 0)</f>
        <v>23</v>
      </c>
      <c r="Q85">
        <f>O85*P85</f>
        <v>460</v>
      </c>
      <c r="R85">
        <f t="shared" si="33"/>
        <v>53690</v>
      </c>
      <c r="T85">
        <f t="shared" si="20"/>
        <v>53690</v>
      </c>
    </row>
    <row r="86" spans="1:20" x14ac:dyDescent="0.3">
      <c r="A86">
        <v>83</v>
      </c>
      <c r="B86" t="s">
        <v>194</v>
      </c>
      <c r="C86" cm="1">
        <f t="array" aca="1" ref="C86" ca="1">COLUMN(INDIRECT(D86 &amp; "1"))</f>
        <v>459</v>
      </c>
      <c r="D86" t="s">
        <v>321</v>
      </c>
      <c r="E86">
        <v>391</v>
      </c>
      <c r="F86">
        <v>20</v>
      </c>
      <c r="G86">
        <v>21</v>
      </c>
      <c r="H86" t="s">
        <v>184</v>
      </c>
      <c r="I86">
        <f t="shared" ref="I86:I131" si="34">J85+1</f>
        <v>940</v>
      </c>
      <c r="J86">
        <f t="shared" si="30"/>
        <v>960</v>
      </c>
      <c r="K86">
        <f t="shared" si="31"/>
        <v>420</v>
      </c>
      <c r="L86">
        <f t="shared" si="32"/>
        <v>50950</v>
      </c>
      <c r="N86" s="37">
        <v>0</v>
      </c>
      <c r="O86">
        <f t="shared" si="22"/>
        <v>20</v>
      </c>
      <c r="P86">
        <f>IF(NOT($N86), G86, 0)</f>
        <v>21</v>
      </c>
      <c r="Q86">
        <f>O86*P86</f>
        <v>420</v>
      </c>
      <c r="R86">
        <f t="shared" si="33"/>
        <v>54150</v>
      </c>
      <c r="T86">
        <f t="shared" si="20"/>
        <v>54150</v>
      </c>
    </row>
    <row r="87" spans="1:20" x14ac:dyDescent="0.3">
      <c r="A87">
        <v>84</v>
      </c>
      <c r="B87" t="s">
        <v>195</v>
      </c>
      <c r="C87" cm="1">
        <f t="array" aca="1" ref="C87" ca="1">COLUMN(INDIRECT(D87 &amp; "1"))</f>
        <v>425</v>
      </c>
      <c r="D87" t="s">
        <v>158</v>
      </c>
      <c r="E87">
        <v>421</v>
      </c>
      <c r="F87">
        <v>23</v>
      </c>
      <c r="G87">
        <v>21</v>
      </c>
      <c r="H87" t="s">
        <v>197</v>
      </c>
      <c r="I87">
        <f t="shared" si="34"/>
        <v>961</v>
      </c>
      <c r="J87">
        <f t="shared" si="30"/>
        <v>981</v>
      </c>
      <c r="K87">
        <f t="shared" si="31"/>
        <v>483</v>
      </c>
      <c r="L87">
        <f t="shared" si="32"/>
        <v>51370</v>
      </c>
      <c r="N87" s="37">
        <v>0</v>
      </c>
      <c r="O87">
        <f>IF(NOT($N87), F87, 0)</f>
        <v>23</v>
      </c>
      <c r="P87">
        <f>IF(NOT($N87), G87, 0)</f>
        <v>21</v>
      </c>
      <c r="Q87">
        <f>O87*P87</f>
        <v>483</v>
      </c>
      <c r="R87">
        <f t="shared" si="33"/>
        <v>54570</v>
      </c>
      <c r="T87">
        <f t="shared" si="20"/>
        <v>54570</v>
      </c>
    </row>
    <row r="88" spans="1:20" x14ac:dyDescent="0.3">
      <c r="A88">
        <v>85</v>
      </c>
      <c r="B88" t="s">
        <v>196</v>
      </c>
      <c r="C88" cm="1">
        <f t="array" aca="1" ref="C88" ca="1">COLUMN(INDIRECT(D88 &amp; "1"))</f>
        <v>457</v>
      </c>
      <c r="D88" t="s">
        <v>322</v>
      </c>
      <c r="E88">
        <v>421</v>
      </c>
      <c r="F88">
        <v>23</v>
      </c>
      <c r="G88">
        <v>21</v>
      </c>
      <c r="H88" t="s">
        <v>198</v>
      </c>
      <c r="I88">
        <f t="shared" si="34"/>
        <v>982</v>
      </c>
      <c r="J88">
        <f t="shared" ref="J88:J131" si="35">I88+P88-1</f>
        <v>1002</v>
      </c>
      <c r="K88">
        <f t="shared" ref="K88:K131" si="36">F88*G88</f>
        <v>483</v>
      </c>
      <c r="L88">
        <f t="shared" ref="L88:L131" si="37">IF(NOT(N88), L87+K87, L87)</f>
        <v>51853</v>
      </c>
      <c r="N88" s="37">
        <v>0</v>
      </c>
      <c r="O88">
        <f t="shared" ref="O88:O131" si="38">IF(NOT($N88), F88, 0)</f>
        <v>23</v>
      </c>
      <c r="P88">
        <f>IF(NOT($N88), G88, 0)</f>
        <v>21</v>
      </c>
      <c r="Q88">
        <f t="shared" ref="Q88:Q131" si="39">O88*P88</f>
        <v>483</v>
      </c>
      <c r="R88">
        <f t="shared" si="33"/>
        <v>55053</v>
      </c>
      <c r="T88">
        <f t="shared" si="20"/>
        <v>55053</v>
      </c>
    </row>
    <row r="89" spans="1:20" x14ac:dyDescent="0.3">
      <c r="A89">
        <v>86</v>
      </c>
      <c r="B89" t="s">
        <v>257</v>
      </c>
      <c r="C89" cm="1">
        <f t="array" aca="1" ref="C89" ca="1">COLUMN(INDIRECT(D89 &amp; "1"))</f>
        <v>609</v>
      </c>
      <c r="D89" t="s">
        <v>323</v>
      </c>
      <c r="E89">
        <v>328</v>
      </c>
      <c r="F89">
        <v>24</v>
      </c>
      <c r="G89">
        <v>30</v>
      </c>
      <c r="H89" t="s">
        <v>260</v>
      </c>
      <c r="I89">
        <f t="shared" si="34"/>
        <v>1003</v>
      </c>
      <c r="J89">
        <f t="shared" si="35"/>
        <v>1032</v>
      </c>
      <c r="K89">
        <f t="shared" si="36"/>
        <v>720</v>
      </c>
      <c r="L89">
        <f t="shared" si="37"/>
        <v>52336</v>
      </c>
      <c r="N89" s="37">
        <v>0</v>
      </c>
      <c r="O89">
        <f t="shared" si="38"/>
        <v>24</v>
      </c>
      <c r="P89">
        <f t="shared" ref="P89:P131" si="40">IF(NOT($N89), G89, 0)</f>
        <v>30</v>
      </c>
      <c r="Q89">
        <f t="shared" si="39"/>
        <v>720</v>
      </c>
      <c r="R89">
        <f t="shared" si="33"/>
        <v>55536</v>
      </c>
      <c r="T89">
        <f t="shared" si="20"/>
        <v>55536</v>
      </c>
    </row>
    <row r="90" spans="1:20" x14ac:dyDescent="0.3">
      <c r="A90">
        <v>87</v>
      </c>
      <c r="B90" t="s">
        <v>242</v>
      </c>
      <c r="C90" cm="1">
        <f t="array" aca="1" ref="C90" ca="1">COLUMN(INDIRECT(D90 &amp; "1"))</f>
        <v>608</v>
      </c>
      <c r="D90" t="s">
        <v>260</v>
      </c>
      <c r="E90">
        <v>358</v>
      </c>
      <c r="F90">
        <v>26</v>
      </c>
      <c r="G90">
        <v>30</v>
      </c>
      <c r="H90" t="s">
        <v>261</v>
      </c>
      <c r="I90">
        <f t="shared" si="34"/>
        <v>1033</v>
      </c>
      <c r="J90">
        <f t="shared" si="35"/>
        <v>1062</v>
      </c>
      <c r="K90">
        <f t="shared" si="36"/>
        <v>780</v>
      </c>
      <c r="L90">
        <f t="shared" si="37"/>
        <v>53056</v>
      </c>
      <c r="N90" s="37">
        <v>0</v>
      </c>
      <c r="O90">
        <f t="shared" si="38"/>
        <v>26</v>
      </c>
      <c r="P90">
        <f t="shared" si="40"/>
        <v>30</v>
      </c>
      <c r="Q90">
        <f t="shared" si="39"/>
        <v>780</v>
      </c>
      <c r="R90">
        <f t="shared" si="33"/>
        <v>56256</v>
      </c>
      <c r="T90">
        <f t="shared" si="20"/>
        <v>56256</v>
      </c>
    </row>
    <row r="91" spans="1:20" x14ac:dyDescent="0.3">
      <c r="A91">
        <v>88</v>
      </c>
      <c r="B91" t="s">
        <v>258</v>
      </c>
      <c r="C91" cm="1">
        <f t="array" aca="1" ref="C91" ca="1">COLUMN(INDIRECT(D91 &amp; "1"))</f>
        <v>607</v>
      </c>
      <c r="D91" t="s">
        <v>261</v>
      </c>
      <c r="E91">
        <v>388</v>
      </c>
      <c r="F91">
        <v>28</v>
      </c>
      <c r="G91">
        <v>60</v>
      </c>
      <c r="H91" t="s">
        <v>262</v>
      </c>
      <c r="I91">
        <f t="shared" si="34"/>
        <v>1063</v>
      </c>
      <c r="J91">
        <f t="shared" si="35"/>
        <v>1122</v>
      </c>
      <c r="K91">
        <f t="shared" si="36"/>
        <v>1680</v>
      </c>
      <c r="L91">
        <f t="shared" si="37"/>
        <v>53836</v>
      </c>
      <c r="N91" s="37">
        <v>0</v>
      </c>
      <c r="O91">
        <f t="shared" si="38"/>
        <v>28</v>
      </c>
      <c r="P91">
        <f t="shared" si="40"/>
        <v>60</v>
      </c>
      <c r="Q91">
        <f t="shared" si="39"/>
        <v>1680</v>
      </c>
      <c r="R91">
        <f t="shared" ref="R91:R131" si="41">R90+Q90</f>
        <v>57036</v>
      </c>
      <c r="T91">
        <f t="shared" si="20"/>
        <v>57036</v>
      </c>
    </row>
    <row r="92" spans="1:20" x14ac:dyDescent="0.3">
      <c r="A92">
        <v>89</v>
      </c>
      <c r="B92" t="s">
        <v>259</v>
      </c>
      <c r="C92" cm="1">
        <f t="array" aca="1" ref="C92" ca="1">COLUMN(INDIRECT(D92 &amp; "1"))</f>
        <v>608</v>
      </c>
      <c r="D92" t="s">
        <v>260</v>
      </c>
      <c r="E92">
        <v>448</v>
      </c>
      <c r="F92">
        <v>26</v>
      </c>
      <c r="G92">
        <v>30</v>
      </c>
      <c r="H92" t="s">
        <v>261</v>
      </c>
      <c r="I92">
        <f t="shared" si="34"/>
        <v>1123</v>
      </c>
      <c r="J92">
        <f t="shared" si="35"/>
        <v>1152</v>
      </c>
      <c r="K92">
        <f t="shared" si="36"/>
        <v>780</v>
      </c>
      <c r="L92">
        <f t="shared" si="37"/>
        <v>55516</v>
      </c>
      <c r="N92" s="37">
        <v>0</v>
      </c>
      <c r="O92">
        <f t="shared" si="38"/>
        <v>26</v>
      </c>
      <c r="P92">
        <f t="shared" si="40"/>
        <v>30</v>
      </c>
      <c r="Q92">
        <f t="shared" si="39"/>
        <v>780</v>
      </c>
      <c r="R92">
        <f t="shared" si="41"/>
        <v>58716</v>
      </c>
      <c r="T92">
        <f t="shared" si="20"/>
        <v>58716</v>
      </c>
    </row>
    <row r="93" spans="1:20" x14ac:dyDescent="0.3">
      <c r="A93">
        <v>90</v>
      </c>
      <c r="B93" t="s">
        <v>263</v>
      </c>
      <c r="C93" cm="1">
        <f t="array" aca="1" ref="C93" ca="1">COLUMN(INDIRECT(D93 &amp; "1"))</f>
        <v>164</v>
      </c>
      <c r="D93" t="s">
        <v>96</v>
      </c>
      <c r="E93">
        <v>115</v>
      </c>
      <c r="F93">
        <v>56</v>
      </c>
      <c r="G93">
        <v>60</v>
      </c>
      <c r="I93">
        <f t="shared" si="34"/>
        <v>1153</v>
      </c>
      <c r="J93">
        <f t="shared" si="35"/>
        <v>1212</v>
      </c>
      <c r="K93">
        <f t="shared" si="36"/>
        <v>3360</v>
      </c>
      <c r="L93">
        <f t="shared" si="37"/>
        <v>56296</v>
      </c>
      <c r="N93" s="37">
        <v>0</v>
      </c>
      <c r="O93">
        <f t="shared" si="38"/>
        <v>56</v>
      </c>
      <c r="P93">
        <f t="shared" si="40"/>
        <v>60</v>
      </c>
      <c r="Q93">
        <f t="shared" si="39"/>
        <v>3360</v>
      </c>
      <c r="R93">
        <f t="shared" si="41"/>
        <v>59496</v>
      </c>
      <c r="T93">
        <f t="shared" si="20"/>
        <v>59496</v>
      </c>
    </row>
    <row r="94" spans="1:20" x14ac:dyDescent="0.3">
      <c r="A94">
        <v>91</v>
      </c>
      <c r="B94" t="s">
        <v>264</v>
      </c>
      <c r="C94" cm="1">
        <f t="array" aca="1" ref="C94" ca="1">COLUMN(INDIRECT(D94 &amp; "1"))</f>
        <v>224</v>
      </c>
      <c r="D94" t="s">
        <v>113</v>
      </c>
      <c r="E94">
        <v>115</v>
      </c>
      <c r="F94">
        <v>52</v>
      </c>
      <c r="G94">
        <v>60</v>
      </c>
      <c r="I94">
        <f t="shared" si="34"/>
        <v>1213</v>
      </c>
      <c r="J94">
        <f t="shared" si="35"/>
        <v>1272</v>
      </c>
      <c r="K94">
        <f t="shared" si="36"/>
        <v>3120</v>
      </c>
      <c r="L94">
        <f t="shared" si="37"/>
        <v>59656</v>
      </c>
      <c r="N94" s="37">
        <v>0</v>
      </c>
      <c r="O94">
        <f t="shared" si="38"/>
        <v>52</v>
      </c>
      <c r="P94">
        <f t="shared" si="40"/>
        <v>60</v>
      </c>
      <c r="Q94">
        <f t="shared" si="39"/>
        <v>3120</v>
      </c>
      <c r="R94">
        <f t="shared" si="41"/>
        <v>62856</v>
      </c>
      <c r="T94">
        <f t="shared" si="20"/>
        <v>62856</v>
      </c>
    </row>
    <row r="95" spans="1:20" x14ac:dyDescent="0.3">
      <c r="A95">
        <v>92</v>
      </c>
      <c r="B95" t="s">
        <v>265</v>
      </c>
      <c r="C95" cm="1">
        <f t="array" aca="1" ref="C95" ca="1">COLUMN(INDIRECT(D95 &amp; "1"))</f>
        <v>280</v>
      </c>
      <c r="D95" t="s">
        <v>268</v>
      </c>
      <c r="E95">
        <v>115</v>
      </c>
      <c r="F95">
        <v>52</v>
      </c>
      <c r="G95">
        <v>60</v>
      </c>
      <c r="I95">
        <f t="shared" si="34"/>
        <v>1273</v>
      </c>
      <c r="J95">
        <f t="shared" si="35"/>
        <v>1332</v>
      </c>
      <c r="K95">
        <f t="shared" si="36"/>
        <v>3120</v>
      </c>
      <c r="L95">
        <f t="shared" si="37"/>
        <v>62776</v>
      </c>
      <c r="N95" s="37">
        <v>0</v>
      </c>
      <c r="O95">
        <f t="shared" si="38"/>
        <v>52</v>
      </c>
      <c r="P95">
        <f t="shared" si="40"/>
        <v>60</v>
      </c>
      <c r="Q95">
        <f t="shared" si="39"/>
        <v>3120</v>
      </c>
      <c r="R95">
        <f t="shared" si="41"/>
        <v>65976</v>
      </c>
      <c r="T95">
        <f t="shared" si="20"/>
        <v>65976</v>
      </c>
    </row>
    <row r="96" spans="1:20" x14ac:dyDescent="0.3">
      <c r="A96">
        <v>93</v>
      </c>
      <c r="B96" t="s">
        <v>266</v>
      </c>
      <c r="C96" cm="1">
        <f t="array" aca="1" ref="C96" ca="1">COLUMN(INDIRECT(D96 &amp; "1"))</f>
        <v>336</v>
      </c>
      <c r="D96" t="s">
        <v>269</v>
      </c>
      <c r="E96">
        <v>115</v>
      </c>
      <c r="F96">
        <v>48</v>
      </c>
      <c r="G96">
        <v>60</v>
      </c>
      <c r="I96">
        <f t="shared" si="34"/>
        <v>1333</v>
      </c>
      <c r="J96">
        <f t="shared" si="35"/>
        <v>1392</v>
      </c>
      <c r="K96">
        <f t="shared" si="36"/>
        <v>2880</v>
      </c>
      <c r="L96">
        <f t="shared" si="37"/>
        <v>65896</v>
      </c>
      <c r="N96" s="37">
        <v>0</v>
      </c>
      <c r="O96">
        <f t="shared" si="38"/>
        <v>48</v>
      </c>
      <c r="P96">
        <f t="shared" si="40"/>
        <v>60</v>
      </c>
      <c r="Q96">
        <f t="shared" si="39"/>
        <v>2880</v>
      </c>
      <c r="R96">
        <f t="shared" si="41"/>
        <v>69096</v>
      </c>
      <c r="T96">
        <f t="shared" si="20"/>
        <v>69096</v>
      </c>
    </row>
    <row r="97" spans="1:20" x14ac:dyDescent="0.3">
      <c r="A97">
        <v>94</v>
      </c>
      <c r="B97" t="s">
        <v>241</v>
      </c>
      <c r="C97" cm="1">
        <f t="array" aca="1" ref="C97" ca="1">COLUMN(INDIRECT(D97 &amp; "1"))</f>
        <v>388</v>
      </c>
      <c r="D97" t="s">
        <v>270</v>
      </c>
      <c r="E97">
        <v>115</v>
      </c>
      <c r="F97">
        <v>56</v>
      </c>
      <c r="G97">
        <v>60</v>
      </c>
      <c r="I97">
        <f t="shared" si="34"/>
        <v>1393</v>
      </c>
      <c r="J97">
        <f t="shared" si="35"/>
        <v>1452</v>
      </c>
      <c r="K97">
        <f t="shared" si="36"/>
        <v>3360</v>
      </c>
      <c r="L97">
        <f t="shared" si="37"/>
        <v>68776</v>
      </c>
      <c r="N97" s="37">
        <v>0</v>
      </c>
      <c r="O97">
        <f t="shared" si="38"/>
        <v>56</v>
      </c>
      <c r="P97">
        <f t="shared" si="40"/>
        <v>60</v>
      </c>
      <c r="Q97">
        <f t="shared" si="39"/>
        <v>3360</v>
      </c>
      <c r="R97">
        <f t="shared" si="41"/>
        <v>71976</v>
      </c>
      <c r="T97">
        <f t="shared" si="20"/>
        <v>71976</v>
      </c>
    </row>
    <row r="98" spans="1:20" x14ac:dyDescent="0.3">
      <c r="A98">
        <v>95</v>
      </c>
      <c r="B98" t="s">
        <v>257</v>
      </c>
      <c r="C98" cm="1">
        <f t="array" aca="1" ref="C98" ca="1">COLUMN(INDIRECT(D98 &amp; "1"))</f>
        <v>448</v>
      </c>
      <c r="D98" t="s">
        <v>271</v>
      </c>
      <c r="E98">
        <v>115</v>
      </c>
      <c r="F98">
        <v>48</v>
      </c>
      <c r="G98">
        <v>60</v>
      </c>
      <c r="I98">
        <f t="shared" si="34"/>
        <v>1453</v>
      </c>
      <c r="J98">
        <f t="shared" si="35"/>
        <v>1512</v>
      </c>
      <c r="K98">
        <f t="shared" si="36"/>
        <v>2880</v>
      </c>
      <c r="L98">
        <f t="shared" si="37"/>
        <v>72136</v>
      </c>
      <c r="N98" s="37">
        <v>0</v>
      </c>
      <c r="O98">
        <f t="shared" si="38"/>
        <v>48</v>
      </c>
      <c r="P98">
        <f t="shared" si="40"/>
        <v>60</v>
      </c>
      <c r="Q98">
        <f t="shared" si="39"/>
        <v>2880</v>
      </c>
      <c r="R98">
        <f t="shared" si="41"/>
        <v>75336</v>
      </c>
      <c r="T98">
        <f t="shared" si="20"/>
        <v>75336</v>
      </c>
    </row>
    <row r="99" spans="1:20" x14ac:dyDescent="0.3">
      <c r="A99">
        <v>96</v>
      </c>
      <c r="B99" t="s">
        <v>257</v>
      </c>
      <c r="C99" cm="1">
        <f t="array" aca="1" ref="C99" ca="1">COLUMN(INDIRECT(D99 &amp; "1"))</f>
        <v>136</v>
      </c>
      <c r="D99" t="s">
        <v>276</v>
      </c>
      <c r="E99">
        <v>187</v>
      </c>
      <c r="F99">
        <v>48</v>
      </c>
      <c r="G99">
        <v>60</v>
      </c>
      <c r="I99">
        <f t="shared" si="34"/>
        <v>1513</v>
      </c>
      <c r="J99">
        <f t="shared" si="35"/>
        <v>1512</v>
      </c>
      <c r="K99">
        <f t="shared" si="36"/>
        <v>2880</v>
      </c>
      <c r="L99">
        <f t="shared" si="37"/>
        <v>72136</v>
      </c>
      <c r="N99" s="37">
        <v>1</v>
      </c>
      <c r="O99">
        <f t="shared" si="38"/>
        <v>0</v>
      </c>
      <c r="P99">
        <f t="shared" si="40"/>
        <v>0</v>
      </c>
      <c r="Q99">
        <f t="shared" si="39"/>
        <v>0</v>
      </c>
      <c r="R99">
        <f t="shared" si="41"/>
        <v>78216</v>
      </c>
      <c r="S99">
        <f>R98</f>
        <v>75336</v>
      </c>
      <c r="T99">
        <f t="shared" si="20"/>
        <v>75336</v>
      </c>
    </row>
    <row r="100" spans="1:20" x14ac:dyDescent="0.3">
      <c r="A100">
        <v>97</v>
      </c>
      <c r="B100" t="s">
        <v>242</v>
      </c>
      <c r="C100" cm="1">
        <f t="array" aca="1" ref="C100" ca="1">COLUMN(INDIRECT(D100 &amp; "1"))</f>
        <v>188</v>
      </c>
      <c r="D100" t="s">
        <v>275</v>
      </c>
      <c r="E100">
        <v>187</v>
      </c>
      <c r="F100">
        <v>52</v>
      </c>
      <c r="G100">
        <v>60</v>
      </c>
      <c r="I100">
        <f t="shared" si="34"/>
        <v>1513</v>
      </c>
      <c r="J100">
        <f t="shared" si="35"/>
        <v>1572</v>
      </c>
      <c r="K100">
        <f t="shared" si="36"/>
        <v>3120</v>
      </c>
      <c r="L100">
        <f t="shared" si="37"/>
        <v>75016</v>
      </c>
      <c r="N100" s="37">
        <v>0</v>
      </c>
      <c r="O100">
        <f t="shared" si="38"/>
        <v>52</v>
      </c>
      <c r="P100">
        <f t="shared" si="40"/>
        <v>60</v>
      </c>
      <c r="Q100">
        <f t="shared" si="39"/>
        <v>3120</v>
      </c>
      <c r="R100">
        <f t="shared" si="41"/>
        <v>78216</v>
      </c>
      <c r="T100">
        <f t="shared" si="20"/>
        <v>78216</v>
      </c>
    </row>
    <row r="101" spans="1:20" x14ac:dyDescent="0.3">
      <c r="A101">
        <v>98</v>
      </c>
      <c r="B101" t="s">
        <v>267</v>
      </c>
      <c r="C101" cm="1">
        <f t="array" aca="1" ref="C101" ca="1">COLUMN(INDIRECT(D101 &amp; "1"))</f>
        <v>244</v>
      </c>
      <c r="D101" t="s">
        <v>115</v>
      </c>
      <c r="E101">
        <v>187</v>
      </c>
      <c r="F101">
        <v>56</v>
      </c>
      <c r="G101">
        <v>60</v>
      </c>
      <c r="I101">
        <f t="shared" si="34"/>
        <v>1573</v>
      </c>
      <c r="J101">
        <f t="shared" si="35"/>
        <v>1632</v>
      </c>
      <c r="K101">
        <f t="shared" si="36"/>
        <v>3360</v>
      </c>
      <c r="L101">
        <f t="shared" si="37"/>
        <v>78136</v>
      </c>
      <c r="N101" s="37">
        <v>0</v>
      </c>
      <c r="O101">
        <f t="shared" si="38"/>
        <v>56</v>
      </c>
      <c r="P101">
        <f t="shared" si="40"/>
        <v>60</v>
      </c>
      <c r="Q101">
        <f t="shared" si="39"/>
        <v>3360</v>
      </c>
      <c r="R101">
        <f t="shared" si="41"/>
        <v>81336</v>
      </c>
      <c r="T101">
        <f t="shared" si="20"/>
        <v>81336</v>
      </c>
    </row>
    <row r="102" spans="1:20" x14ac:dyDescent="0.3">
      <c r="A102">
        <v>99</v>
      </c>
      <c r="B102" t="s">
        <v>241</v>
      </c>
      <c r="C102" cm="1">
        <f t="array" aca="1" ref="C102" ca="1">COLUMN(INDIRECT(D102 &amp; "1"))</f>
        <v>304</v>
      </c>
      <c r="D102" t="s">
        <v>274</v>
      </c>
      <c r="E102">
        <v>187</v>
      </c>
      <c r="F102">
        <v>56</v>
      </c>
      <c r="G102">
        <v>60</v>
      </c>
      <c r="I102">
        <f t="shared" si="34"/>
        <v>1633</v>
      </c>
      <c r="J102">
        <f t="shared" si="35"/>
        <v>1632</v>
      </c>
      <c r="K102">
        <f t="shared" si="36"/>
        <v>3360</v>
      </c>
      <c r="L102">
        <f t="shared" si="37"/>
        <v>78136</v>
      </c>
      <c r="N102" s="37">
        <v>1</v>
      </c>
      <c r="O102">
        <f t="shared" si="38"/>
        <v>0</v>
      </c>
      <c r="P102">
        <f t="shared" si="40"/>
        <v>0</v>
      </c>
      <c r="Q102">
        <f t="shared" si="39"/>
        <v>0</v>
      </c>
      <c r="R102">
        <f t="shared" si="41"/>
        <v>84696</v>
      </c>
      <c r="S102">
        <f>R96</f>
        <v>69096</v>
      </c>
      <c r="T102">
        <f t="shared" si="20"/>
        <v>69096</v>
      </c>
    </row>
    <row r="103" spans="1:20" x14ac:dyDescent="0.3">
      <c r="A103">
        <v>100</v>
      </c>
      <c r="B103" t="s">
        <v>259</v>
      </c>
      <c r="C103" cm="1">
        <f t="array" aca="1" ref="C103" ca="1">COLUMN(INDIRECT(D103 &amp; "1"))</f>
        <v>364</v>
      </c>
      <c r="D103" t="s">
        <v>205</v>
      </c>
      <c r="E103">
        <v>187</v>
      </c>
      <c r="F103">
        <v>52</v>
      </c>
      <c r="G103">
        <v>60</v>
      </c>
      <c r="I103">
        <f t="shared" si="34"/>
        <v>1633</v>
      </c>
      <c r="J103">
        <f t="shared" si="35"/>
        <v>1692</v>
      </c>
      <c r="K103">
        <f t="shared" si="36"/>
        <v>3120</v>
      </c>
      <c r="L103">
        <f t="shared" si="37"/>
        <v>81496</v>
      </c>
      <c r="N103" s="37">
        <v>0</v>
      </c>
      <c r="O103">
        <f t="shared" si="38"/>
        <v>52</v>
      </c>
      <c r="P103">
        <f t="shared" si="40"/>
        <v>60</v>
      </c>
      <c r="Q103">
        <f t="shared" si="39"/>
        <v>3120</v>
      </c>
      <c r="R103">
        <f t="shared" si="41"/>
        <v>84696</v>
      </c>
      <c r="T103">
        <f t="shared" ref="T103:T131" si="42">IF(ISBLANK(S103),R103,S103)</f>
        <v>84696</v>
      </c>
    </row>
    <row r="104" spans="1:20" x14ac:dyDescent="0.3">
      <c r="A104">
        <v>101</v>
      </c>
      <c r="B104" t="s">
        <v>266</v>
      </c>
      <c r="C104" cm="1">
        <f t="array" aca="1" ref="C104" ca="1">COLUMN(INDIRECT(D104 &amp; "1"))</f>
        <v>420</v>
      </c>
      <c r="D104" t="s">
        <v>273</v>
      </c>
      <c r="E104">
        <v>187</v>
      </c>
      <c r="F104">
        <v>48</v>
      </c>
      <c r="G104">
        <v>60</v>
      </c>
      <c r="I104">
        <f t="shared" si="34"/>
        <v>1693</v>
      </c>
      <c r="J104">
        <f t="shared" si="35"/>
        <v>1692</v>
      </c>
      <c r="K104">
        <f t="shared" si="36"/>
        <v>2880</v>
      </c>
      <c r="L104">
        <f t="shared" si="37"/>
        <v>81496</v>
      </c>
      <c r="N104" s="37">
        <v>1</v>
      </c>
      <c r="O104">
        <f t="shared" si="38"/>
        <v>0</v>
      </c>
      <c r="P104">
        <f t="shared" si="40"/>
        <v>0</v>
      </c>
      <c r="Q104">
        <f t="shared" si="39"/>
        <v>0</v>
      </c>
      <c r="R104">
        <f t="shared" si="41"/>
        <v>87816</v>
      </c>
      <c r="S104">
        <f>R96</f>
        <v>69096</v>
      </c>
      <c r="T104">
        <f t="shared" si="42"/>
        <v>69096</v>
      </c>
    </row>
    <row r="105" spans="1:20" x14ac:dyDescent="0.3">
      <c r="A105">
        <v>102</v>
      </c>
      <c r="B105" t="s">
        <v>242</v>
      </c>
      <c r="C105" cm="1">
        <f t="array" aca="1" ref="C105" ca="1">COLUMN(INDIRECT(D105 &amp; "1"))</f>
        <v>472</v>
      </c>
      <c r="D105" t="s">
        <v>272</v>
      </c>
      <c r="E105">
        <v>187</v>
      </c>
      <c r="F105">
        <v>52</v>
      </c>
      <c r="G105">
        <v>60</v>
      </c>
      <c r="I105">
        <f t="shared" si="34"/>
        <v>1693</v>
      </c>
      <c r="J105">
        <f t="shared" si="35"/>
        <v>1692</v>
      </c>
      <c r="K105">
        <f t="shared" si="36"/>
        <v>3120</v>
      </c>
      <c r="L105">
        <f t="shared" si="37"/>
        <v>81496</v>
      </c>
      <c r="N105" s="37">
        <v>1</v>
      </c>
      <c r="O105">
        <f t="shared" si="38"/>
        <v>0</v>
      </c>
      <c r="P105">
        <f t="shared" si="40"/>
        <v>0</v>
      </c>
      <c r="Q105">
        <f t="shared" si="39"/>
        <v>0</v>
      </c>
      <c r="R105">
        <f t="shared" si="41"/>
        <v>87816</v>
      </c>
      <c r="S105">
        <f>R100</f>
        <v>78216</v>
      </c>
      <c r="T105">
        <f t="shared" si="42"/>
        <v>78216</v>
      </c>
    </row>
    <row r="106" spans="1:20" x14ac:dyDescent="0.3">
      <c r="A106">
        <v>103</v>
      </c>
      <c r="B106" t="s">
        <v>253</v>
      </c>
      <c r="C106" cm="1">
        <f t="array" aca="1" ref="C106" ca="1">COLUMN(INDIRECT(D106 &amp; "1"))</f>
        <v>181</v>
      </c>
      <c r="D106" t="s">
        <v>255</v>
      </c>
      <c r="E106">
        <v>270</v>
      </c>
      <c r="F106">
        <v>159</v>
      </c>
      <c r="G106">
        <v>26</v>
      </c>
      <c r="I106">
        <f t="shared" si="34"/>
        <v>1693</v>
      </c>
      <c r="J106">
        <f t="shared" si="35"/>
        <v>1718</v>
      </c>
      <c r="K106">
        <f t="shared" si="36"/>
        <v>4134</v>
      </c>
      <c r="L106">
        <f t="shared" si="37"/>
        <v>84616</v>
      </c>
      <c r="N106" s="37">
        <v>0</v>
      </c>
      <c r="O106">
        <f t="shared" si="38"/>
        <v>159</v>
      </c>
      <c r="P106">
        <f t="shared" si="40"/>
        <v>26</v>
      </c>
      <c r="Q106">
        <f t="shared" si="39"/>
        <v>4134</v>
      </c>
      <c r="R106">
        <f t="shared" si="41"/>
        <v>87816</v>
      </c>
      <c r="T106">
        <f t="shared" si="42"/>
        <v>87816</v>
      </c>
    </row>
    <row r="107" spans="1:20" x14ac:dyDescent="0.3">
      <c r="A107">
        <v>104</v>
      </c>
      <c r="B107" t="s">
        <v>254</v>
      </c>
      <c r="C107" cm="1">
        <f t="array" aca="1" ref="C107" ca="1">COLUMN(INDIRECT(D107 &amp; "1"))</f>
        <v>363</v>
      </c>
      <c r="D107" t="s">
        <v>134</v>
      </c>
      <c r="E107">
        <v>270</v>
      </c>
      <c r="F107">
        <v>104</v>
      </c>
      <c r="G107">
        <v>26</v>
      </c>
      <c r="I107">
        <f t="shared" si="34"/>
        <v>1719</v>
      </c>
      <c r="J107">
        <f t="shared" si="35"/>
        <v>1744</v>
      </c>
      <c r="K107">
        <f t="shared" si="36"/>
        <v>2704</v>
      </c>
      <c r="L107">
        <f t="shared" si="37"/>
        <v>88750</v>
      </c>
      <c r="N107" s="37">
        <v>0</v>
      </c>
      <c r="O107">
        <f t="shared" si="38"/>
        <v>104</v>
      </c>
      <c r="P107">
        <f t="shared" si="40"/>
        <v>26</v>
      </c>
      <c r="Q107">
        <f t="shared" si="39"/>
        <v>2704</v>
      </c>
      <c r="R107">
        <f t="shared" si="41"/>
        <v>91950</v>
      </c>
      <c r="T107">
        <f t="shared" si="42"/>
        <v>91950</v>
      </c>
    </row>
    <row r="108" spans="1:20" x14ac:dyDescent="0.3">
      <c r="A108">
        <v>105</v>
      </c>
      <c r="B108" t="s">
        <v>206</v>
      </c>
      <c r="C108" cm="1">
        <f t="array" aca="1" ref="C108" ca="1">COLUMN(INDIRECT(D108 &amp; "1"))</f>
        <v>3</v>
      </c>
      <c r="D108" t="s">
        <v>241</v>
      </c>
      <c r="E108">
        <v>31</v>
      </c>
      <c r="F108">
        <v>88</v>
      </c>
      <c r="G108">
        <v>44</v>
      </c>
      <c r="I108">
        <f t="shared" si="34"/>
        <v>1745</v>
      </c>
      <c r="J108">
        <f t="shared" si="35"/>
        <v>1744</v>
      </c>
      <c r="K108">
        <f t="shared" si="36"/>
        <v>3872</v>
      </c>
      <c r="L108">
        <f t="shared" si="37"/>
        <v>88750</v>
      </c>
      <c r="N108" s="37">
        <v>1</v>
      </c>
      <c r="O108">
        <f t="shared" si="38"/>
        <v>0</v>
      </c>
      <c r="P108">
        <f t="shared" si="40"/>
        <v>0</v>
      </c>
      <c r="Q108">
        <f t="shared" si="39"/>
        <v>0</v>
      </c>
      <c r="R108">
        <f t="shared" si="41"/>
        <v>94654</v>
      </c>
      <c r="S108">
        <f>R48</f>
        <v>34415</v>
      </c>
      <c r="T108">
        <f t="shared" si="42"/>
        <v>34415</v>
      </c>
    </row>
    <row r="109" spans="1:20" x14ac:dyDescent="0.3">
      <c r="A109">
        <v>106</v>
      </c>
      <c r="B109" t="s">
        <v>204</v>
      </c>
      <c r="C109" cm="1">
        <f t="array" aca="1" ref="C109" ca="1">COLUMN(INDIRECT(D109 &amp; "1"))</f>
        <v>18</v>
      </c>
      <c r="D109" t="s">
        <v>242</v>
      </c>
      <c r="E109">
        <v>80</v>
      </c>
      <c r="F109">
        <v>55</v>
      </c>
      <c r="G109">
        <v>46</v>
      </c>
      <c r="I109">
        <f t="shared" si="34"/>
        <v>1745</v>
      </c>
      <c r="J109">
        <f t="shared" si="35"/>
        <v>1790</v>
      </c>
      <c r="K109">
        <f t="shared" si="36"/>
        <v>2530</v>
      </c>
      <c r="L109">
        <f t="shared" si="37"/>
        <v>92622</v>
      </c>
      <c r="N109" s="37">
        <v>0</v>
      </c>
      <c r="O109">
        <f t="shared" si="38"/>
        <v>55</v>
      </c>
      <c r="P109">
        <f t="shared" si="40"/>
        <v>46</v>
      </c>
      <c r="Q109">
        <f t="shared" si="39"/>
        <v>2530</v>
      </c>
      <c r="R109">
        <f t="shared" si="41"/>
        <v>94654</v>
      </c>
      <c r="T109">
        <f t="shared" si="42"/>
        <v>94654</v>
      </c>
    </row>
    <row r="110" spans="1:20" x14ac:dyDescent="0.3">
      <c r="A110">
        <v>107</v>
      </c>
      <c r="B110" t="s">
        <v>207</v>
      </c>
      <c r="C110" cm="1">
        <f t="array" aca="1" ref="C110" ca="1">COLUMN(INDIRECT(D110 &amp; "1"))</f>
        <v>130</v>
      </c>
      <c r="D110" t="s">
        <v>240</v>
      </c>
      <c r="E110">
        <v>9</v>
      </c>
      <c r="F110">
        <v>83</v>
      </c>
      <c r="G110">
        <v>12</v>
      </c>
      <c r="I110">
        <f t="shared" si="34"/>
        <v>1791</v>
      </c>
      <c r="J110">
        <f t="shared" si="35"/>
        <v>1790</v>
      </c>
      <c r="K110">
        <f t="shared" si="36"/>
        <v>996</v>
      </c>
      <c r="L110">
        <f t="shared" si="37"/>
        <v>92622</v>
      </c>
      <c r="N110" s="37">
        <v>1</v>
      </c>
      <c r="O110">
        <f t="shared" si="38"/>
        <v>0</v>
      </c>
      <c r="P110">
        <f t="shared" si="40"/>
        <v>0</v>
      </c>
      <c r="Q110">
        <f t="shared" si="39"/>
        <v>0</v>
      </c>
      <c r="R110">
        <f t="shared" si="41"/>
        <v>97184</v>
      </c>
      <c r="S110">
        <f>R39</f>
        <v>32593</v>
      </c>
      <c r="T110">
        <f t="shared" si="42"/>
        <v>32593</v>
      </c>
    </row>
    <row r="111" spans="1:20" x14ac:dyDescent="0.3">
      <c r="A111">
        <v>108</v>
      </c>
      <c r="B111" t="s">
        <v>208</v>
      </c>
      <c r="C111" cm="1">
        <f t="array" aca="1" ref="C111" ca="1">COLUMN(INDIRECT(D111 &amp; "1"))</f>
        <v>18</v>
      </c>
      <c r="D111" t="s">
        <v>242</v>
      </c>
      <c r="E111">
        <v>32</v>
      </c>
      <c r="F111">
        <v>55</v>
      </c>
      <c r="G111">
        <v>46</v>
      </c>
      <c r="I111">
        <f t="shared" si="34"/>
        <v>1791</v>
      </c>
      <c r="J111">
        <f t="shared" si="35"/>
        <v>1836</v>
      </c>
      <c r="K111">
        <f t="shared" si="36"/>
        <v>2530</v>
      </c>
      <c r="L111">
        <f t="shared" si="37"/>
        <v>93618</v>
      </c>
      <c r="N111" s="37">
        <v>0</v>
      </c>
      <c r="O111">
        <f t="shared" si="38"/>
        <v>55</v>
      </c>
      <c r="P111">
        <f t="shared" si="40"/>
        <v>46</v>
      </c>
      <c r="Q111">
        <f t="shared" si="39"/>
        <v>2530</v>
      </c>
      <c r="R111">
        <f t="shared" si="41"/>
        <v>97184</v>
      </c>
      <c r="T111">
        <f t="shared" si="42"/>
        <v>97184</v>
      </c>
    </row>
    <row r="112" spans="1:20" x14ac:dyDescent="0.3">
      <c r="A112">
        <v>109</v>
      </c>
      <c r="B112" t="s">
        <v>209</v>
      </c>
      <c r="C112" cm="1">
        <f t="array" aca="1" ref="C112" ca="1">COLUMN(INDIRECT(D112 &amp; "1"))</f>
        <v>18</v>
      </c>
      <c r="D112" t="s">
        <v>242</v>
      </c>
      <c r="E112">
        <v>80</v>
      </c>
      <c r="F112">
        <v>55</v>
      </c>
      <c r="G112">
        <v>46</v>
      </c>
      <c r="I112">
        <f t="shared" si="34"/>
        <v>1837</v>
      </c>
      <c r="J112">
        <f t="shared" si="35"/>
        <v>1882</v>
      </c>
      <c r="K112">
        <f t="shared" si="36"/>
        <v>2530</v>
      </c>
      <c r="L112">
        <f t="shared" si="37"/>
        <v>96148</v>
      </c>
      <c r="N112" s="37">
        <v>0</v>
      </c>
      <c r="O112">
        <f t="shared" si="38"/>
        <v>55</v>
      </c>
      <c r="P112">
        <f t="shared" si="40"/>
        <v>46</v>
      </c>
      <c r="Q112">
        <f t="shared" si="39"/>
        <v>2530</v>
      </c>
      <c r="R112">
        <f t="shared" si="41"/>
        <v>99714</v>
      </c>
      <c r="T112">
        <f t="shared" si="42"/>
        <v>99714</v>
      </c>
    </row>
    <row r="113" spans="1:20" x14ac:dyDescent="0.3">
      <c r="A113">
        <v>110</v>
      </c>
      <c r="B113" t="s">
        <v>218</v>
      </c>
      <c r="C113" cm="1">
        <f t="array" aca="1" ref="C113" ca="1">COLUMN(INDIRECT(D113 &amp; "1"))</f>
        <v>144</v>
      </c>
      <c r="D113" t="s">
        <v>244</v>
      </c>
      <c r="E113">
        <v>9</v>
      </c>
      <c r="F113">
        <v>44</v>
      </c>
      <c r="G113">
        <v>12</v>
      </c>
      <c r="I113">
        <f t="shared" si="34"/>
        <v>1883</v>
      </c>
      <c r="J113">
        <f t="shared" si="35"/>
        <v>1882</v>
      </c>
      <c r="K113">
        <f t="shared" si="36"/>
        <v>528</v>
      </c>
      <c r="L113">
        <f t="shared" si="37"/>
        <v>96148</v>
      </c>
      <c r="N113" s="37">
        <v>1</v>
      </c>
      <c r="O113">
        <f t="shared" si="38"/>
        <v>0</v>
      </c>
      <c r="P113">
        <f t="shared" si="40"/>
        <v>0</v>
      </c>
      <c r="Q113">
        <f t="shared" si="39"/>
        <v>0</v>
      </c>
      <c r="R113">
        <f t="shared" si="41"/>
        <v>102244</v>
      </c>
      <c r="S113">
        <f>R52</f>
        <v>38327</v>
      </c>
      <c r="T113">
        <f t="shared" si="42"/>
        <v>38327</v>
      </c>
    </row>
    <row r="114" spans="1:20" x14ac:dyDescent="0.3">
      <c r="A114">
        <v>111</v>
      </c>
      <c r="B114" t="s">
        <v>222</v>
      </c>
      <c r="C114" cm="1">
        <f t="array" aca="1" ref="C114" ca="1">COLUMN(INDIRECT(D114 &amp; "1"))</f>
        <v>17</v>
      </c>
      <c r="D114" t="s">
        <v>245</v>
      </c>
      <c r="E114">
        <v>31</v>
      </c>
      <c r="F114">
        <v>55</v>
      </c>
      <c r="G114">
        <v>46</v>
      </c>
      <c r="I114">
        <f t="shared" si="34"/>
        <v>1883</v>
      </c>
      <c r="J114">
        <f t="shared" si="35"/>
        <v>1928</v>
      </c>
      <c r="K114">
        <f t="shared" si="36"/>
        <v>2530</v>
      </c>
      <c r="L114">
        <f t="shared" si="37"/>
        <v>96676</v>
      </c>
      <c r="N114" s="37">
        <v>0</v>
      </c>
      <c r="O114">
        <f t="shared" si="38"/>
        <v>55</v>
      </c>
      <c r="P114">
        <f t="shared" si="40"/>
        <v>46</v>
      </c>
      <c r="Q114">
        <f t="shared" si="39"/>
        <v>2530</v>
      </c>
      <c r="R114">
        <f t="shared" si="41"/>
        <v>102244</v>
      </c>
      <c r="T114">
        <f t="shared" si="42"/>
        <v>102244</v>
      </c>
    </row>
    <row r="115" spans="1:20" x14ac:dyDescent="0.3">
      <c r="A115">
        <v>112</v>
      </c>
      <c r="B115" t="s">
        <v>223</v>
      </c>
      <c r="C115" cm="1">
        <f t="array" aca="1" ref="C115" ca="1">COLUMN(INDIRECT(D115 &amp; "1"))</f>
        <v>17</v>
      </c>
      <c r="D115" t="s">
        <v>245</v>
      </c>
      <c r="E115">
        <v>80</v>
      </c>
      <c r="F115">
        <v>55</v>
      </c>
      <c r="G115">
        <v>46</v>
      </c>
      <c r="I115">
        <f t="shared" si="34"/>
        <v>1929</v>
      </c>
      <c r="J115">
        <f t="shared" si="35"/>
        <v>1974</v>
      </c>
      <c r="K115">
        <f t="shared" si="36"/>
        <v>2530</v>
      </c>
      <c r="L115">
        <f t="shared" si="37"/>
        <v>99206</v>
      </c>
      <c r="N115" s="37">
        <v>0</v>
      </c>
      <c r="O115">
        <f t="shared" si="38"/>
        <v>55</v>
      </c>
      <c r="P115">
        <f t="shared" si="40"/>
        <v>46</v>
      </c>
      <c r="Q115">
        <f t="shared" si="39"/>
        <v>2530</v>
      </c>
      <c r="R115">
        <f t="shared" si="41"/>
        <v>104774</v>
      </c>
      <c r="T115">
        <f t="shared" si="42"/>
        <v>104774</v>
      </c>
    </row>
    <row r="116" spans="1:20" x14ac:dyDescent="0.3">
      <c r="A116">
        <v>113</v>
      </c>
      <c r="B116" t="s">
        <v>224</v>
      </c>
      <c r="C116" cm="1">
        <f t="array" aca="1" ref="C116" ca="1">COLUMN(INDIRECT(D116 &amp; "1"))</f>
        <v>116</v>
      </c>
      <c r="D116" t="s">
        <v>246</v>
      </c>
      <c r="E116">
        <v>9</v>
      </c>
      <c r="F116">
        <v>55</v>
      </c>
      <c r="G116">
        <v>17</v>
      </c>
      <c r="I116">
        <f t="shared" si="34"/>
        <v>1975</v>
      </c>
      <c r="J116">
        <f t="shared" si="35"/>
        <v>1974</v>
      </c>
      <c r="K116">
        <f t="shared" si="36"/>
        <v>935</v>
      </c>
      <c r="L116">
        <f t="shared" si="37"/>
        <v>99206</v>
      </c>
      <c r="N116" s="37">
        <v>1</v>
      </c>
      <c r="O116">
        <f t="shared" si="38"/>
        <v>0</v>
      </c>
      <c r="P116">
        <f t="shared" si="40"/>
        <v>0</v>
      </c>
      <c r="Q116">
        <f t="shared" si="39"/>
        <v>0</v>
      </c>
      <c r="R116">
        <f t="shared" si="41"/>
        <v>107304</v>
      </c>
      <c r="S116">
        <f>R56</f>
        <v>43017</v>
      </c>
      <c r="T116">
        <f t="shared" si="42"/>
        <v>43017</v>
      </c>
    </row>
    <row r="117" spans="1:20" x14ac:dyDescent="0.3">
      <c r="A117">
        <v>114</v>
      </c>
      <c r="B117" t="s">
        <v>225</v>
      </c>
      <c r="C117" cm="1">
        <f t="array" aca="1" ref="C117" ca="1">COLUMN(INDIRECT(D117 &amp; "1"))</f>
        <v>177</v>
      </c>
      <c r="D117" t="s">
        <v>247</v>
      </c>
      <c r="E117">
        <v>9</v>
      </c>
      <c r="F117">
        <v>42</v>
      </c>
      <c r="G117">
        <v>12</v>
      </c>
      <c r="I117">
        <f t="shared" si="34"/>
        <v>1975</v>
      </c>
      <c r="J117">
        <f t="shared" si="35"/>
        <v>1974</v>
      </c>
      <c r="K117">
        <f t="shared" si="36"/>
        <v>504</v>
      </c>
      <c r="L117">
        <f t="shared" si="37"/>
        <v>99206</v>
      </c>
      <c r="N117" s="37">
        <v>1</v>
      </c>
      <c r="O117">
        <f t="shared" si="38"/>
        <v>0</v>
      </c>
      <c r="P117">
        <f t="shared" si="40"/>
        <v>0</v>
      </c>
      <c r="Q117">
        <f t="shared" si="39"/>
        <v>0</v>
      </c>
      <c r="R117">
        <f t="shared" si="41"/>
        <v>107304</v>
      </c>
      <c r="S117">
        <f>R57</f>
        <v>43952</v>
      </c>
      <c r="T117">
        <f t="shared" si="42"/>
        <v>43952</v>
      </c>
    </row>
    <row r="118" spans="1:20" x14ac:dyDescent="0.3">
      <c r="A118">
        <v>115</v>
      </c>
      <c r="B118" t="s">
        <v>227</v>
      </c>
      <c r="C118" cm="1">
        <f t="array" aca="1" ref="C118" ca="1">COLUMN(INDIRECT(D118 &amp; "1"))</f>
        <v>18</v>
      </c>
      <c r="D118" t="s">
        <v>242</v>
      </c>
      <c r="E118">
        <v>31</v>
      </c>
      <c r="F118">
        <v>57</v>
      </c>
      <c r="G118">
        <v>45</v>
      </c>
      <c r="I118">
        <f t="shared" si="34"/>
        <v>1975</v>
      </c>
      <c r="J118">
        <f t="shared" si="35"/>
        <v>2019</v>
      </c>
      <c r="K118">
        <f t="shared" si="36"/>
        <v>2565</v>
      </c>
      <c r="L118">
        <f t="shared" si="37"/>
        <v>99710</v>
      </c>
      <c r="N118" s="37">
        <v>0</v>
      </c>
      <c r="O118">
        <f t="shared" si="38"/>
        <v>57</v>
      </c>
      <c r="P118">
        <f t="shared" si="40"/>
        <v>45</v>
      </c>
      <c r="Q118">
        <f t="shared" si="39"/>
        <v>2565</v>
      </c>
      <c r="R118">
        <f t="shared" si="41"/>
        <v>107304</v>
      </c>
      <c r="T118">
        <f t="shared" si="42"/>
        <v>107304</v>
      </c>
    </row>
    <row r="119" spans="1:20" x14ac:dyDescent="0.3">
      <c r="A119">
        <v>116</v>
      </c>
      <c r="B119" t="s">
        <v>229</v>
      </c>
      <c r="C119" cm="1">
        <f t="array" aca="1" ref="C119" ca="1">COLUMN(INDIRECT(D119 &amp; "1"))</f>
        <v>18</v>
      </c>
      <c r="D119" t="s">
        <v>242</v>
      </c>
      <c r="E119">
        <v>81</v>
      </c>
      <c r="F119">
        <v>57</v>
      </c>
      <c r="G119">
        <v>45</v>
      </c>
      <c r="I119">
        <f t="shared" si="34"/>
        <v>2020</v>
      </c>
      <c r="J119">
        <f t="shared" si="35"/>
        <v>2064</v>
      </c>
      <c r="K119">
        <f t="shared" si="36"/>
        <v>2565</v>
      </c>
      <c r="L119">
        <f t="shared" si="37"/>
        <v>102275</v>
      </c>
      <c r="N119" s="37">
        <v>0</v>
      </c>
      <c r="O119">
        <f t="shared" si="38"/>
        <v>57</v>
      </c>
      <c r="P119">
        <f t="shared" si="40"/>
        <v>45</v>
      </c>
      <c r="Q119">
        <f t="shared" si="39"/>
        <v>2565</v>
      </c>
      <c r="R119">
        <f t="shared" si="41"/>
        <v>109869</v>
      </c>
      <c r="T119">
        <f t="shared" si="42"/>
        <v>109869</v>
      </c>
    </row>
    <row r="120" spans="1:20" x14ac:dyDescent="0.3">
      <c r="A120">
        <v>117</v>
      </c>
      <c r="B120" t="s">
        <v>232</v>
      </c>
      <c r="C120" cm="1">
        <f t="array" aca="1" ref="C120" ca="1">COLUMN(INDIRECT(D120 &amp; "1"))</f>
        <v>149</v>
      </c>
      <c r="D120" t="s">
        <v>243</v>
      </c>
      <c r="E120">
        <v>9</v>
      </c>
      <c r="F120">
        <v>42</v>
      </c>
      <c r="G120">
        <v>12</v>
      </c>
      <c r="I120">
        <f t="shared" si="34"/>
        <v>2065</v>
      </c>
      <c r="J120">
        <f t="shared" si="35"/>
        <v>2064</v>
      </c>
      <c r="K120">
        <f t="shared" si="36"/>
        <v>504</v>
      </c>
      <c r="L120">
        <f t="shared" si="37"/>
        <v>102275</v>
      </c>
      <c r="N120" s="37">
        <v>1</v>
      </c>
      <c r="O120">
        <f t="shared" si="38"/>
        <v>0</v>
      </c>
      <c r="P120">
        <f t="shared" si="40"/>
        <v>0</v>
      </c>
      <c r="Q120">
        <f t="shared" si="39"/>
        <v>0</v>
      </c>
      <c r="R120">
        <f t="shared" si="41"/>
        <v>112434</v>
      </c>
      <c r="S120">
        <f>R73</f>
        <v>49790</v>
      </c>
      <c r="T120">
        <f t="shared" si="42"/>
        <v>49790</v>
      </c>
    </row>
    <row r="121" spans="1:20" x14ac:dyDescent="0.3">
      <c r="A121">
        <v>118</v>
      </c>
      <c r="B121" t="s">
        <v>234</v>
      </c>
      <c r="C121" cm="1">
        <f t="array" aca="1" ref="C121" ca="1">COLUMN(INDIRECT(D121 &amp; "1"))</f>
        <v>18</v>
      </c>
      <c r="D121" t="s">
        <v>242</v>
      </c>
      <c r="E121">
        <v>31</v>
      </c>
      <c r="F121">
        <v>57</v>
      </c>
      <c r="G121">
        <v>45</v>
      </c>
      <c r="I121">
        <f t="shared" si="34"/>
        <v>2065</v>
      </c>
      <c r="J121">
        <f t="shared" si="35"/>
        <v>2109</v>
      </c>
      <c r="K121">
        <f t="shared" si="36"/>
        <v>2565</v>
      </c>
      <c r="L121">
        <f t="shared" si="37"/>
        <v>102779</v>
      </c>
      <c r="N121" s="37">
        <v>0</v>
      </c>
      <c r="O121">
        <f t="shared" si="38"/>
        <v>57</v>
      </c>
      <c r="P121">
        <f t="shared" si="40"/>
        <v>45</v>
      </c>
      <c r="Q121">
        <f t="shared" si="39"/>
        <v>2565</v>
      </c>
      <c r="R121">
        <f t="shared" si="41"/>
        <v>112434</v>
      </c>
      <c r="T121">
        <f t="shared" si="42"/>
        <v>112434</v>
      </c>
    </row>
    <row r="122" spans="1:20" x14ac:dyDescent="0.3">
      <c r="A122">
        <v>119</v>
      </c>
      <c r="B122" t="s">
        <v>235</v>
      </c>
      <c r="C122" cm="1">
        <f t="array" aca="1" ref="C122" ca="1">COLUMN(INDIRECT(D122 &amp; "1"))</f>
        <v>18</v>
      </c>
      <c r="D122" t="s">
        <v>242</v>
      </c>
      <c r="E122">
        <v>80</v>
      </c>
      <c r="F122">
        <v>57</v>
      </c>
      <c r="G122">
        <v>45</v>
      </c>
      <c r="I122">
        <f t="shared" si="34"/>
        <v>2110</v>
      </c>
      <c r="J122">
        <f t="shared" si="35"/>
        <v>2154</v>
      </c>
      <c r="K122">
        <f t="shared" si="36"/>
        <v>2565</v>
      </c>
      <c r="L122">
        <f t="shared" si="37"/>
        <v>105344</v>
      </c>
      <c r="N122" s="37">
        <v>0</v>
      </c>
      <c r="O122">
        <f t="shared" si="38"/>
        <v>57</v>
      </c>
      <c r="P122">
        <f t="shared" si="40"/>
        <v>45</v>
      </c>
      <c r="Q122">
        <f t="shared" si="39"/>
        <v>2565</v>
      </c>
      <c r="R122">
        <f t="shared" si="41"/>
        <v>114999</v>
      </c>
      <c r="T122">
        <f t="shared" si="42"/>
        <v>114999</v>
      </c>
    </row>
    <row r="123" spans="1:20" x14ac:dyDescent="0.3">
      <c r="A123">
        <v>120</v>
      </c>
      <c r="B123" t="s">
        <v>236</v>
      </c>
      <c r="C123" cm="1">
        <f t="array" aca="1" ref="C123" ca="1">COLUMN(INDIRECT(D123 &amp; "1"))</f>
        <v>114</v>
      </c>
      <c r="D123" t="s">
        <v>248</v>
      </c>
      <c r="E123">
        <v>7</v>
      </c>
      <c r="F123">
        <v>74</v>
      </c>
      <c r="G123">
        <v>18</v>
      </c>
      <c r="I123">
        <f t="shared" si="34"/>
        <v>2155</v>
      </c>
      <c r="J123">
        <f t="shared" si="35"/>
        <v>2154</v>
      </c>
      <c r="K123">
        <f t="shared" si="36"/>
        <v>1332</v>
      </c>
      <c r="L123">
        <f t="shared" si="37"/>
        <v>105344</v>
      </c>
      <c r="N123" s="37">
        <v>1</v>
      </c>
      <c r="O123">
        <f t="shared" si="38"/>
        <v>0</v>
      </c>
      <c r="P123">
        <f t="shared" si="40"/>
        <v>0</v>
      </c>
      <c r="Q123">
        <f t="shared" si="39"/>
        <v>0</v>
      </c>
      <c r="R123">
        <f t="shared" si="41"/>
        <v>117564</v>
      </c>
      <c r="S123">
        <f>R76</f>
        <v>51242</v>
      </c>
      <c r="T123">
        <f t="shared" si="42"/>
        <v>51242</v>
      </c>
    </row>
    <row r="124" spans="1:20" x14ac:dyDescent="0.3">
      <c r="A124">
        <v>121</v>
      </c>
      <c r="B124" t="s">
        <v>238</v>
      </c>
      <c r="C124" cm="1">
        <f t="array" aca="1" ref="C124" ca="1">COLUMN(INDIRECT(D124 &amp; "1"))</f>
        <v>191</v>
      </c>
      <c r="D124" t="s">
        <v>249</v>
      </c>
      <c r="E124">
        <v>7</v>
      </c>
      <c r="F124">
        <v>30</v>
      </c>
      <c r="G124">
        <v>12</v>
      </c>
      <c r="I124">
        <f t="shared" si="34"/>
        <v>2155</v>
      </c>
      <c r="J124">
        <f t="shared" si="35"/>
        <v>2154</v>
      </c>
      <c r="K124">
        <f t="shared" si="36"/>
        <v>360</v>
      </c>
      <c r="L124">
        <f t="shared" si="37"/>
        <v>105344</v>
      </c>
      <c r="N124" s="37">
        <v>1</v>
      </c>
      <c r="O124">
        <f t="shared" si="38"/>
        <v>0</v>
      </c>
      <c r="P124">
        <f t="shared" si="40"/>
        <v>0</v>
      </c>
      <c r="Q124">
        <f t="shared" si="39"/>
        <v>0</v>
      </c>
      <c r="R124">
        <f t="shared" si="41"/>
        <v>117564</v>
      </c>
      <c r="S124">
        <f>R80</f>
        <v>52574</v>
      </c>
      <c r="T124">
        <f t="shared" si="42"/>
        <v>52574</v>
      </c>
    </row>
    <row r="125" spans="1:20" x14ac:dyDescent="0.3">
      <c r="A125">
        <v>122</v>
      </c>
      <c r="B125" t="s">
        <v>29</v>
      </c>
      <c r="C125" cm="1">
        <f t="array" aca="1" ref="C125" ca="1">COLUMN(INDIRECT(D125 &amp; "1"))</f>
        <v>475</v>
      </c>
      <c r="D125" t="s">
        <v>237</v>
      </c>
      <c r="E125">
        <v>204</v>
      </c>
      <c r="F125">
        <v>68</v>
      </c>
      <c r="G125">
        <v>26</v>
      </c>
      <c r="I125">
        <f t="shared" si="34"/>
        <v>2155</v>
      </c>
      <c r="J125">
        <f t="shared" si="35"/>
        <v>2180</v>
      </c>
      <c r="K125">
        <f t="shared" si="36"/>
        <v>1768</v>
      </c>
      <c r="L125">
        <f t="shared" si="37"/>
        <v>105704</v>
      </c>
      <c r="N125" s="37">
        <v>0</v>
      </c>
      <c r="O125">
        <f t="shared" si="38"/>
        <v>68</v>
      </c>
      <c r="P125">
        <f t="shared" si="40"/>
        <v>26</v>
      </c>
      <c r="Q125">
        <f t="shared" si="39"/>
        <v>1768</v>
      </c>
      <c r="R125">
        <f t="shared" si="41"/>
        <v>117564</v>
      </c>
      <c r="T125">
        <f t="shared" si="42"/>
        <v>117564</v>
      </c>
    </row>
    <row r="126" spans="1:20" x14ac:dyDescent="0.3">
      <c r="A126">
        <v>123</v>
      </c>
      <c r="B126" t="s">
        <v>4</v>
      </c>
      <c r="C126" cm="1">
        <f t="array" aca="1" ref="C126" ca="1">COLUMN(INDIRECT(D126 &amp; "1"))</f>
        <v>402</v>
      </c>
      <c r="D126" t="s">
        <v>74</v>
      </c>
      <c r="E126">
        <v>357</v>
      </c>
      <c r="F126">
        <v>56</v>
      </c>
      <c r="G126">
        <v>26</v>
      </c>
      <c r="I126">
        <f t="shared" si="34"/>
        <v>2181</v>
      </c>
      <c r="J126">
        <f t="shared" si="35"/>
        <v>2206</v>
      </c>
      <c r="K126">
        <f t="shared" si="36"/>
        <v>1456</v>
      </c>
      <c r="L126">
        <f t="shared" si="37"/>
        <v>107472</v>
      </c>
      <c r="N126" s="37">
        <v>0</v>
      </c>
      <c r="O126">
        <f t="shared" si="38"/>
        <v>56</v>
      </c>
      <c r="P126">
        <f t="shared" si="40"/>
        <v>26</v>
      </c>
      <c r="Q126">
        <f t="shared" si="39"/>
        <v>1456</v>
      </c>
      <c r="R126">
        <f t="shared" si="41"/>
        <v>119332</v>
      </c>
      <c r="T126">
        <f t="shared" si="42"/>
        <v>119332</v>
      </c>
    </row>
    <row r="127" spans="1:20" x14ac:dyDescent="0.3">
      <c r="A127">
        <v>124</v>
      </c>
      <c r="B127" t="s">
        <v>5</v>
      </c>
      <c r="C127" cm="1">
        <f t="array" aca="1" ref="C127" ca="1">COLUMN(INDIRECT(D127 &amp; "1"))</f>
        <v>468</v>
      </c>
      <c r="D127" t="s">
        <v>250</v>
      </c>
      <c r="E127">
        <v>352</v>
      </c>
      <c r="F127">
        <v>40</v>
      </c>
      <c r="G127">
        <v>34</v>
      </c>
      <c r="I127">
        <f t="shared" si="34"/>
        <v>2207</v>
      </c>
      <c r="J127">
        <f t="shared" si="35"/>
        <v>2240</v>
      </c>
      <c r="K127">
        <f t="shared" si="36"/>
        <v>1360</v>
      </c>
      <c r="L127">
        <f t="shared" si="37"/>
        <v>108928</v>
      </c>
      <c r="N127" s="37">
        <v>0</v>
      </c>
      <c r="O127">
        <f t="shared" si="38"/>
        <v>40</v>
      </c>
      <c r="P127">
        <f t="shared" si="40"/>
        <v>34</v>
      </c>
      <c r="Q127">
        <f t="shared" si="39"/>
        <v>1360</v>
      </c>
      <c r="R127">
        <f t="shared" si="41"/>
        <v>120788</v>
      </c>
      <c r="T127">
        <f t="shared" si="42"/>
        <v>120788</v>
      </c>
    </row>
    <row r="128" spans="1:20" x14ac:dyDescent="0.3">
      <c r="A128">
        <v>125</v>
      </c>
      <c r="B128" t="s">
        <v>6</v>
      </c>
      <c r="C128" cm="1">
        <f t="array" aca="1" ref="C128" ca="1">COLUMN(INDIRECT(D128 &amp; "1"))</f>
        <v>510</v>
      </c>
      <c r="D128" t="s">
        <v>190</v>
      </c>
      <c r="E128">
        <v>352</v>
      </c>
      <c r="F128">
        <v>40</v>
      </c>
      <c r="G128">
        <v>34</v>
      </c>
      <c r="I128">
        <f t="shared" si="34"/>
        <v>2241</v>
      </c>
      <c r="J128">
        <f t="shared" si="35"/>
        <v>2240</v>
      </c>
      <c r="K128">
        <f t="shared" si="36"/>
        <v>1360</v>
      </c>
      <c r="L128">
        <f t="shared" si="37"/>
        <v>108928</v>
      </c>
      <c r="N128" s="37">
        <v>1</v>
      </c>
      <c r="O128">
        <f t="shared" si="38"/>
        <v>0</v>
      </c>
      <c r="P128">
        <f t="shared" si="40"/>
        <v>0</v>
      </c>
      <c r="Q128">
        <f t="shared" si="39"/>
        <v>0</v>
      </c>
      <c r="R128">
        <f t="shared" si="41"/>
        <v>122148</v>
      </c>
      <c r="S128">
        <f>R127</f>
        <v>120788</v>
      </c>
      <c r="T128">
        <f>IF(ISBLANK(S128),R128,S128)</f>
        <v>120788</v>
      </c>
    </row>
    <row r="129" spans="1:20" x14ac:dyDescent="0.3">
      <c r="A129">
        <v>126</v>
      </c>
      <c r="B129" t="s">
        <v>7</v>
      </c>
      <c r="C129" cm="1">
        <f t="array" aca="1" ref="C129" ca="1">COLUMN(INDIRECT(D129 &amp; "1"))</f>
        <v>552</v>
      </c>
      <c r="D129" t="s">
        <v>191</v>
      </c>
      <c r="E129">
        <v>352</v>
      </c>
      <c r="F129">
        <v>40</v>
      </c>
      <c r="G129">
        <v>34</v>
      </c>
      <c r="I129">
        <f t="shared" si="34"/>
        <v>2241</v>
      </c>
      <c r="J129">
        <f t="shared" si="35"/>
        <v>2274</v>
      </c>
      <c r="K129">
        <f t="shared" si="36"/>
        <v>1360</v>
      </c>
      <c r="L129">
        <f t="shared" si="37"/>
        <v>110288</v>
      </c>
      <c r="N129" s="37">
        <v>0</v>
      </c>
      <c r="O129">
        <f t="shared" si="38"/>
        <v>40</v>
      </c>
      <c r="P129">
        <f t="shared" si="40"/>
        <v>34</v>
      </c>
      <c r="Q129">
        <f t="shared" si="39"/>
        <v>1360</v>
      </c>
      <c r="R129">
        <f t="shared" si="41"/>
        <v>122148</v>
      </c>
      <c r="T129">
        <f t="shared" si="42"/>
        <v>122148</v>
      </c>
    </row>
    <row r="130" spans="1:20" x14ac:dyDescent="0.3">
      <c r="A130">
        <v>127</v>
      </c>
      <c r="B130" t="s">
        <v>8</v>
      </c>
      <c r="C130" cm="1">
        <f t="array" aca="1" ref="C130" ca="1">COLUMN(INDIRECT(D130 &amp; "1"))</f>
        <v>595</v>
      </c>
      <c r="D130" t="s">
        <v>239</v>
      </c>
      <c r="E130">
        <v>352</v>
      </c>
      <c r="F130">
        <v>40</v>
      </c>
      <c r="G130">
        <v>34</v>
      </c>
      <c r="I130">
        <f t="shared" si="34"/>
        <v>2275</v>
      </c>
      <c r="J130">
        <f t="shared" si="35"/>
        <v>2274</v>
      </c>
      <c r="K130">
        <f t="shared" si="36"/>
        <v>1360</v>
      </c>
      <c r="L130">
        <f t="shared" si="37"/>
        <v>110288</v>
      </c>
      <c r="N130" s="37">
        <v>1</v>
      </c>
      <c r="O130">
        <f t="shared" si="38"/>
        <v>0</v>
      </c>
      <c r="P130">
        <f t="shared" si="40"/>
        <v>0</v>
      </c>
      <c r="Q130">
        <f t="shared" si="39"/>
        <v>0</v>
      </c>
      <c r="R130">
        <f t="shared" si="41"/>
        <v>123508</v>
      </c>
      <c r="S130">
        <f>R129</f>
        <v>122148</v>
      </c>
      <c r="T130">
        <f t="shared" si="42"/>
        <v>122148</v>
      </c>
    </row>
    <row r="131" spans="1:20" x14ac:dyDescent="0.3">
      <c r="A131">
        <v>128</v>
      </c>
      <c r="B131" t="s">
        <v>67</v>
      </c>
      <c r="C131" t="e" cm="1">
        <f t="array" aca="1" ref="C131" ca="1">COLUMN(INDIRECT(D131 &amp; "1"))</f>
        <v>#REF!</v>
      </c>
      <c r="I131">
        <f t="shared" si="34"/>
        <v>2275</v>
      </c>
      <c r="J131">
        <f t="shared" si="35"/>
        <v>2274</v>
      </c>
      <c r="K131">
        <f t="shared" si="36"/>
        <v>0</v>
      </c>
      <c r="L131">
        <f t="shared" si="37"/>
        <v>111648</v>
      </c>
      <c r="O131">
        <f t="shared" si="38"/>
        <v>0</v>
      </c>
      <c r="P131">
        <f t="shared" si="40"/>
        <v>0</v>
      </c>
      <c r="Q131">
        <f t="shared" si="39"/>
        <v>0</v>
      </c>
      <c r="R131">
        <f t="shared" si="41"/>
        <v>123508</v>
      </c>
      <c r="T131">
        <f t="shared" si="42"/>
        <v>123508</v>
      </c>
    </row>
    <row r="134" spans="1:20" x14ac:dyDescent="0.3">
      <c r="C134">
        <v>130</v>
      </c>
      <c r="D134" t="str">
        <f>SUBSTITUTE(ADDRESS(1, C134,4), "1","")</f>
        <v>DZ</v>
      </c>
    </row>
    <row r="137" spans="1:20" x14ac:dyDescent="0.3">
      <c r="B137" t="s">
        <v>217</v>
      </c>
      <c r="C137">
        <f>C138-C139</f>
        <v>90</v>
      </c>
      <c r="E137" t="s">
        <v>231</v>
      </c>
    </row>
    <row r="138" spans="1:20" x14ac:dyDescent="0.3">
      <c r="B138" t="s">
        <v>215</v>
      </c>
      <c r="C138">
        <v>285</v>
      </c>
      <c r="E138" t="s">
        <v>230</v>
      </c>
    </row>
    <row r="139" spans="1:20" x14ac:dyDescent="0.3">
      <c r="B139" t="s">
        <v>214</v>
      </c>
      <c r="C139">
        <v>195</v>
      </c>
      <c r="E139" t="s">
        <v>221</v>
      </c>
    </row>
    <row r="140" spans="1:20" x14ac:dyDescent="0.3">
      <c r="B140" t="s">
        <v>212</v>
      </c>
      <c r="C140">
        <f ca="1">C144-C143+98</f>
        <v>189</v>
      </c>
      <c r="D140" t="str">
        <f ca="1">SUBSTITUTE(ADDRESS(1, C140,4), "1","")</f>
        <v>GG</v>
      </c>
      <c r="E140" t="s">
        <v>233</v>
      </c>
    </row>
    <row r="141" spans="1:20" x14ac:dyDescent="0.3">
      <c r="B141" t="s">
        <v>213</v>
      </c>
      <c r="C141">
        <f ca="1">C144-C143 + C142</f>
        <v>453</v>
      </c>
      <c r="D141" t="str">
        <f ca="1">SUBSTITUTE(ADDRESS(1, C141,4), "1","")</f>
        <v>QK</v>
      </c>
      <c r="E141" t="s">
        <v>226</v>
      </c>
    </row>
    <row r="142" spans="1:20" x14ac:dyDescent="0.3">
      <c r="B142" t="s">
        <v>211</v>
      </c>
      <c r="C142" cm="1">
        <f t="array" aca="1" ref="C142" ca="1">COLUMN(INDIRECT(D142 &amp; "1"))</f>
        <v>362</v>
      </c>
      <c r="D142" t="s">
        <v>181</v>
      </c>
      <c r="E142" t="s">
        <v>221</v>
      </c>
    </row>
    <row r="143" spans="1:20" x14ac:dyDescent="0.3">
      <c r="B143" t="s">
        <v>210</v>
      </c>
      <c r="C143" cm="1">
        <f t="array" aca="1" ref="C143" ca="1">COLUMN(INDIRECT(D143 &amp; "1"))</f>
        <v>1242</v>
      </c>
      <c r="D143" t="s">
        <v>228</v>
      </c>
      <c r="E143" t="s">
        <v>219</v>
      </c>
    </row>
    <row r="144" spans="1:20" x14ac:dyDescent="0.3">
      <c r="B144" t="s">
        <v>216</v>
      </c>
      <c r="C144" cm="1">
        <f t="array" aca="1" ref="C144" ca="1">COLUMN(INDIRECT(D144 &amp; "1"))</f>
        <v>1333</v>
      </c>
      <c r="D144" t="s">
        <v>256</v>
      </c>
      <c r="E144" t="s">
        <v>220</v>
      </c>
    </row>
    <row r="145" spans="3:4" x14ac:dyDescent="0.3">
      <c r="C145" cm="1">
        <f t="array" aca="1" ref="C145" ca="1">COLUMN(INDIRECT(D145 &amp; "1"))</f>
        <v>502</v>
      </c>
      <c r="D145" t="s">
        <v>251</v>
      </c>
    </row>
    <row r="146" spans="3:4" x14ac:dyDescent="0.3">
      <c r="C146" cm="1">
        <f t="array" aca="1" ref="C146" ca="1">COLUMN(INDIRECT(D146 &amp; "1"))</f>
        <v>521</v>
      </c>
      <c r="D146" t="s">
        <v>252</v>
      </c>
    </row>
    <row r="147" spans="3:4" x14ac:dyDescent="0.3">
      <c r="C147" cm="1">
        <f t="array" aca="1" ref="C147" ca="1">COLUMN(INDIRECT(D147 &amp; "1"))</f>
        <v>362</v>
      </c>
      <c r="D147" t="s">
        <v>181</v>
      </c>
    </row>
    <row r="148" spans="3:4" x14ac:dyDescent="0.3">
      <c r="C148" t="e" cm="1">
        <f t="array" aca="1" ref="C148" ca="1">COLUMN(INDIRECT(D148 &amp; "1"))</f>
        <v>#REF!</v>
      </c>
    </row>
    <row r="149" spans="3:4" x14ac:dyDescent="0.3">
      <c r="C149" t="e" cm="1">
        <f t="array" aca="1" ref="C149" ca="1">COLUMN(INDIRECT(D149 &amp; "1"))</f>
        <v>#REF!</v>
      </c>
    </row>
    <row r="150" spans="3:4" x14ac:dyDescent="0.3">
      <c r="C150" t="e" cm="1">
        <f t="array" aca="1" ref="C150" ca="1">COLUMN(INDIRECT(D150 &amp; "1"))</f>
        <v>#REF!</v>
      </c>
    </row>
    <row r="151" spans="3:4" x14ac:dyDescent="0.3">
      <c r="C151" t="e" cm="1">
        <f t="array" aca="1" ref="C151" ca="1">COLUMN(INDIRECT(D151 &amp; "1"))</f>
        <v>#REF!</v>
      </c>
    </row>
    <row r="152" spans="3:4" x14ac:dyDescent="0.3">
      <c r="C152" t="e" cm="1">
        <f t="array" aca="1" ref="C152" ca="1">COLUMN(INDIRECT(D152 &amp; "1"))</f>
        <v>#REF!</v>
      </c>
    </row>
    <row r="153" spans="3:4" x14ac:dyDescent="0.3">
      <c r="C153" t="e" cm="1">
        <f t="array" aca="1" ref="C153" ca="1">COLUMN(INDIRECT(D153 &amp; "1"))</f>
        <v>#REF!</v>
      </c>
    </row>
    <row r="155" spans="3:4" x14ac:dyDescent="0.3">
      <c r="C155" t="e" cm="1">
        <f t="array" aca="1" ref="C155" ca="1">COLUMN(INDIRECT(D155 &amp; "1"))</f>
        <v>#REF!</v>
      </c>
    </row>
    <row r="156" spans="3:4" x14ac:dyDescent="0.3">
      <c r="C156" t="e" cm="1">
        <f t="array" aca="1" ref="C156" ca="1">COLUMN(INDIRECT(D156 &amp; "1"))</f>
        <v>#REF!</v>
      </c>
    </row>
    <row r="158" spans="3:4" x14ac:dyDescent="0.3">
      <c r="C158" t="e" cm="1">
        <f t="array" aca="1" ref="C158" ca="1">COLUMN(INDIRECT(D158 &amp; "1"))</f>
        <v>#REF!</v>
      </c>
    </row>
    <row r="159" spans="3:4" x14ac:dyDescent="0.3">
      <c r="C159" t="e" cm="1">
        <f t="array" aca="1" ref="C159" ca="1">COLUMN(INDIRECT(D159 &amp; "1"))</f>
        <v>#REF!</v>
      </c>
    </row>
    <row r="161" spans="3:6" x14ac:dyDescent="0.3">
      <c r="C161" t="e" cm="1">
        <f t="array" aca="1" ref="C161" ca="1">COLUMN(INDIRECT(D161 &amp; "1"))</f>
        <v>#REF!</v>
      </c>
    </row>
    <row r="162" spans="3:6" x14ac:dyDescent="0.3">
      <c r="C162" t="e" cm="1">
        <f t="array" aca="1" ref="C162" ca="1">COLUMN(INDIRECT(D162 &amp; "1"))</f>
        <v>#REF!</v>
      </c>
    </row>
    <row r="164" spans="3:6" x14ac:dyDescent="0.3">
      <c r="C164" cm="1">
        <f t="array" aca="1" ref="C164" ca="1">COLUMN(INDIRECT(D164 &amp; "1"))</f>
        <v>455</v>
      </c>
      <c r="D164" t="s">
        <v>199</v>
      </c>
      <c r="F164">
        <v>419</v>
      </c>
    </row>
    <row r="165" spans="3:6" x14ac:dyDescent="0.3">
      <c r="C165" cm="1">
        <f t="array" aca="1" ref="C165" ca="1">COLUMN(INDIRECT(D165 &amp; "1"))</f>
        <v>479</v>
      </c>
      <c r="D165" t="s">
        <v>200</v>
      </c>
      <c r="F165">
        <v>443</v>
      </c>
    </row>
    <row r="167" spans="3:6" x14ac:dyDescent="0.3">
      <c r="C167" cm="1">
        <f t="array" aca="1" ref="C167" ca="1">COLUMN(INDIRECT(D167 &amp; "1"))</f>
        <v>359</v>
      </c>
      <c r="D167" t="s">
        <v>202</v>
      </c>
      <c r="F167">
        <v>422</v>
      </c>
    </row>
    <row r="168" spans="3:6" x14ac:dyDescent="0.3">
      <c r="C168" cm="1">
        <f t="array" aca="1" ref="C168" ca="1">COLUMN(INDIRECT(D168 &amp; "1"))</f>
        <v>361</v>
      </c>
      <c r="D168" t="s">
        <v>203</v>
      </c>
      <c r="F168">
        <v>441</v>
      </c>
    </row>
    <row r="170" spans="3:6" x14ac:dyDescent="0.3">
      <c r="C170" cm="1">
        <f t="array" aca="1" ref="C170" ca="1">COLUMN(INDIRECT(D170 &amp; "1"))</f>
        <v>359</v>
      </c>
      <c r="D170" t="s">
        <v>202</v>
      </c>
      <c r="F170">
        <v>422</v>
      </c>
    </row>
    <row r="171" spans="3:6" x14ac:dyDescent="0.3">
      <c r="C171" cm="1">
        <f t="array" aca="1" ref="C171" ca="1">COLUMN(INDIRECT(D171 &amp; "1"))</f>
        <v>64</v>
      </c>
      <c r="D171" t="s">
        <v>201</v>
      </c>
      <c r="F171">
        <v>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D624-46A0-44F5-861D-1B5BA1BAE035}">
  <dimension ref="A1:K140"/>
  <sheetViews>
    <sheetView topLeftCell="A105" zoomScale="88" workbookViewId="0">
      <selection activeCell="J2" sqref="J2:K134"/>
    </sheetView>
  </sheetViews>
  <sheetFormatPr defaultRowHeight="14.4" x14ac:dyDescent="0.3"/>
  <cols>
    <col min="1" max="1" width="4.109375" customWidth="1"/>
    <col min="2" max="2" width="15.109375" bestFit="1" customWidth="1"/>
    <col min="10" max="10" width="22.21875" bestFit="1" customWidth="1"/>
  </cols>
  <sheetData>
    <row r="1" spans="1:11" x14ac:dyDescent="0.3">
      <c r="A1" t="str">
        <f>'modify this'!A1</f>
        <v>idx</v>
      </c>
      <c r="B1" t="str">
        <f>'modify this'!B1</f>
        <v>Name</v>
      </c>
      <c r="C1" t="str">
        <f>'modify this'!C1</f>
        <v>X translated</v>
      </c>
      <c r="D1" t="str">
        <f>'modify this'!E1</f>
        <v>Y</v>
      </c>
      <c r="E1" t="str">
        <f>'modify this'!F1</f>
        <v>xsize</v>
      </c>
      <c r="F1" t="str">
        <f>'modify this'!G1</f>
        <v>ysize</v>
      </c>
      <c r="G1" t="str">
        <f>'modify this'!T1</f>
        <v>bram offset</v>
      </c>
    </row>
    <row r="2" spans="1:11" x14ac:dyDescent="0.3">
      <c r="A2">
        <f>'modify this'!A2</f>
        <v>0</v>
      </c>
      <c r="B2" t="str">
        <f>'modify this'!B2</f>
        <v>red square</v>
      </c>
      <c r="C2">
        <f ca="1">'modify this'!C2</f>
        <v>128</v>
      </c>
      <c r="D2">
        <f>'modify this'!E2</f>
        <v>348</v>
      </c>
      <c r="E2">
        <f>'modify this'!F2</f>
        <v>12</v>
      </c>
      <c r="F2">
        <f>'modify this'!G2</f>
        <v>12</v>
      </c>
      <c r="G2">
        <f>'modify this'!T2</f>
        <v>0</v>
      </c>
      <c r="J2" t="str">
        <f ca="1">_xlfn.CONCAT(C2, ",  ", D2, ", ", E2, ", ", F2, ", ", G2, ", ")</f>
        <v xml:space="preserve">128,  348, 12, 12, 0, </v>
      </c>
      <c r="K2" t="str">
        <f>_xlfn.CONCAT("// ", A2, " ", B2)</f>
        <v>// 0 red square</v>
      </c>
    </row>
    <row r="3" spans="1:11" x14ac:dyDescent="0.3">
      <c r="A3">
        <f>'modify this'!A3</f>
        <v>1</v>
      </c>
      <c r="B3" t="str">
        <f>'modify this'!B3</f>
        <v>green square</v>
      </c>
      <c r="C3">
        <f ca="1">'modify this'!C3</f>
        <v>128</v>
      </c>
      <c r="D3">
        <f>'modify this'!E3</f>
        <v>363</v>
      </c>
      <c r="E3">
        <f>'modify this'!F3</f>
        <v>12</v>
      </c>
      <c r="F3">
        <f>'modify this'!G3</f>
        <v>12</v>
      </c>
      <c r="G3">
        <f>'modify this'!T3</f>
        <v>144</v>
      </c>
      <c r="J3" t="str">
        <f t="shared" ref="J3:J66" ca="1" si="0">_xlfn.CONCAT(C3, ",  ", D3, ", ", E3, ", ", F3, ", ", G3, ", ")</f>
        <v xml:space="preserve">128,  363, 12, 12, 144, </v>
      </c>
      <c r="K3" t="str">
        <f t="shared" ref="K3:K66" si="1">_xlfn.CONCAT("// ", A3, " ", B3)</f>
        <v>// 1 green square</v>
      </c>
    </row>
    <row r="4" spans="1:11" x14ac:dyDescent="0.3">
      <c r="A4">
        <f>'modify this'!A4</f>
        <v>2</v>
      </c>
      <c r="B4" t="str">
        <f>'modify this'!B4</f>
        <v>blue square</v>
      </c>
      <c r="C4">
        <f ca="1">'modify this'!C4</f>
        <v>128</v>
      </c>
      <c r="D4">
        <f>'modify this'!E4</f>
        <v>378</v>
      </c>
      <c r="E4">
        <f>'modify this'!F4</f>
        <v>12</v>
      </c>
      <c r="F4">
        <f>'modify this'!G4</f>
        <v>12</v>
      </c>
      <c r="G4">
        <f>'modify this'!T4</f>
        <v>288</v>
      </c>
      <c r="J4" t="str">
        <f t="shared" ca="1" si="0"/>
        <v xml:space="preserve">128,  378, 12, 12, 288, </v>
      </c>
      <c r="K4" t="str">
        <f t="shared" si="1"/>
        <v>// 2 blue square</v>
      </c>
    </row>
    <row r="5" spans="1:11" x14ac:dyDescent="0.3">
      <c r="A5">
        <f>'modify this'!A5</f>
        <v>3</v>
      </c>
      <c r="B5" t="str">
        <f>'modify this'!B5</f>
        <v>eyedropper</v>
      </c>
      <c r="C5">
        <f>'modify this'!C5</f>
        <v>289</v>
      </c>
      <c r="D5">
        <f>'modify this'!E5</f>
        <v>330</v>
      </c>
      <c r="E5">
        <f>'modify this'!F5</f>
        <v>15</v>
      </c>
      <c r="F5">
        <f>'modify this'!G5</f>
        <v>15</v>
      </c>
      <c r="G5">
        <f>'modify this'!T5</f>
        <v>432</v>
      </c>
      <c r="J5" t="str">
        <f t="shared" si="0"/>
        <v xml:space="preserve">289,  330, 15, 15, 432, </v>
      </c>
      <c r="K5" t="str">
        <f t="shared" si="1"/>
        <v>// 3 eyedropper</v>
      </c>
    </row>
    <row r="6" spans="1:11" x14ac:dyDescent="0.3">
      <c r="A6">
        <f>'modify this'!A6</f>
        <v>4</v>
      </c>
      <c r="B6" t="str">
        <f>'modify this'!B6</f>
        <v>threshold</v>
      </c>
      <c r="C6">
        <f ca="1">'modify this'!C6</f>
        <v>33</v>
      </c>
      <c r="D6">
        <f>'modify this'!E6</f>
        <v>330</v>
      </c>
      <c r="E6">
        <f>'modify this'!F6</f>
        <v>81</v>
      </c>
      <c r="F6">
        <f>'modify this'!G6</f>
        <v>12</v>
      </c>
      <c r="G6">
        <f>'modify this'!T6</f>
        <v>657</v>
      </c>
      <c r="J6" t="str">
        <f t="shared" ca="1" si="0"/>
        <v xml:space="preserve">33,  330, 81, 12, 657, </v>
      </c>
      <c r="K6" t="str">
        <f t="shared" si="1"/>
        <v>// 4 threshold</v>
      </c>
    </row>
    <row r="7" spans="1:11" x14ac:dyDescent="0.3">
      <c r="A7">
        <f>'modify this'!A7</f>
        <v>5</v>
      </c>
      <c r="B7" t="str">
        <f>'modify this'!B7</f>
        <v>raw feed</v>
      </c>
      <c r="C7">
        <f ca="1">'modify this'!C7</f>
        <v>39</v>
      </c>
      <c r="D7">
        <f>'modify this'!E7</f>
        <v>401</v>
      </c>
      <c r="E7">
        <f>'modify this'!F7</f>
        <v>36</v>
      </c>
      <c r="F7">
        <f>'modify this'!G7</f>
        <v>29</v>
      </c>
      <c r="G7">
        <f>'modify this'!T7</f>
        <v>1629</v>
      </c>
      <c r="J7" t="str">
        <f t="shared" ca="1" si="0"/>
        <v xml:space="preserve">39,  401, 36, 29, 1629, </v>
      </c>
      <c r="K7" t="str">
        <f t="shared" si="1"/>
        <v>// 5 raw feed</v>
      </c>
    </row>
    <row r="8" spans="1:11" x14ac:dyDescent="0.3">
      <c r="A8">
        <f>'modify this'!A8</f>
        <v>6</v>
      </c>
      <c r="B8" t="str">
        <f>'modify this'!B8</f>
        <v>camera</v>
      </c>
      <c r="C8">
        <f ca="1">'modify this'!C8</f>
        <v>40</v>
      </c>
      <c r="D8">
        <f>'modify this'!E8</f>
        <v>446</v>
      </c>
      <c r="E8">
        <f>'modify this'!F8</f>
        <v>34</v>
      </c>
      <c r="F8">
        <f>'modify this'!G8</f>
        <v>12</v>
      </c>
      <c r="G8">
        <f>'modify this'!T8</f>
        <v>2673</v>
      </c>
      <c r="J8" t="str">
        <f t="shared" ca="1" si="0"/>
        <v xml:space="preserve">40,  446, 34, 12, 2673, </v>
      </c>
      <c r="K8" t="str">
        <f t="shared" si="1"/>
        <v>// 6 camera</v>
      </c>
    </row>
    <row r="9" spans="1:11" x14ac:dyDescent="0.3">
      <c r="A9">
        <f>'modify this'!A9</f>
        <v>7</v>
      </c>
      <c r="B9" t="str">
        <f>'modify this'!B9</f>
        <v>preprocessing</v>
      </c>
      <c r="C9">
        <f ca="1">'modify this'!C9</f>
        <v>124</v>
      </c>
      <c r="D9">
        <f>'modify this'!E9</f>
        <v>410</v>
      </c>
      <c r="E9">
        <f>'modify this'!F9</f>
        <v>112</v>
      </c>
      <c r="F9">
        <f>'modify this'!G9</f>
        <v>18</v>
      </c>
      <c r="G9">
        <f>'modify this'!T9</f>
        <v>3081</v>
      </c>
      <c r="J9" t="str">
        <f t="shared" ca="1" si="0"/>
        <v xml:space="preserve">124,  410, 112, 18, 3081, </v>
      </c>
      <c r="K9" t="str">
        <f t="shared" si="1"/>
        <v>// 7 preprocessing</v>
      </c>
    </row>
    <row r="10" spans="1:11" x14ac:dyDescent="0.3">
      <c r="A10">
        <f>'modify this'!A10</f>
        <v>8</v>
      </c>
      <c r="B10" t="str">
        <f>'modify this'!B10</f>
        <v>yellow arrow</v>
      </c>
      <c r="C10">
        <f ca="1">'modify this'!C10</f>
        <v>80</v>
      </c>
      <c r="D10">
        <f>'modify this'!E10</f>
        <v>448</v>
      </c>
      <c r="E10">
        <f>'modify this'!F10</f>
        <v>25</v>
      </c>
      <c r="F10">
        <f>'modify this'!G10</f>
        <v>8</v>
      </c>
      <c r="G10">
        <f>'modify this'!T10</f>
        <v>5097</v>
      </c>
      <c r="J10" t="str">
        <f t="shared" ca="1" si="0"/>
        <v xml:space="preserve">80,  448, 25, 8, 5097, </v>
      </c>
      <c r="K10" t="str">
        <f t="shared" si="1"/>
        <v>// 8 yellow arrow</v>
      </c>
    </row>
    <row r="11" spans="1:11" x14ac:dyDescent="0.3">
      <c r="A11">
        <f>'modify this'!A11</f>
        <v>9</v>
      </c>
      <c r="B11" t="str">
        <f>'modify this'!B11</f>
        <v>yellow arrow 2</v>
      </c>
      <c r="C11">
        <f ca="1">'modify this'!C11</f>
        <v>253</v>
      </c>
      <c r="D11">
        <f>'modify this'!E11</f>
        <v>448</v>
      </c>
      <c r="E11">
        <f>'modify this'!F11</f>
        <v>25</v>
      </c>
      <c r="F11">
        <f>'modify this'!G11</f>
        <v>8</v>
      </c>
      <c r="G11">
        <f>'modify this'!T11</f>
        <v>5097</v>
      </c>
      <c r="J11" t="str">
        <f t="shared" ca="1" si="0"/>
        <v xml:space="preserve">253,  448, 25, 8, 5097, </v>
      </c>
      <c r="K11" t="str">
        <f t="shared" si="1"/>
        <v>// 9 yellow arrow 2</v>
      </c>
    </row>
    <row r="12" spans="1:11" x14ac:dyDescent="0.3">
      <c r="A12">
        <f>'modify this'!A12</f>
        <v>10</v>
      </c>
      <c r="B12" t="str">
        <f>'modify this'!B12</f>
        <v>yellow arrow 3</v>
      </c>
      <c r="C12">
        <f ca="1">'modify this'!C12</f>
        <v>350</v>
      </c>
      <c r="D12">
        <f>'modify this'!E12</f>
        <v>448</v>
      </c>
      <c r="E12">
        <f>'modify this'!F12</f>
        <v>25</v>
      </c>
      <c r="F12">
        <f>'modify this'!G12</f>
        <v>8</v>
      </c>
      <c r="G12">
        <f>'modify this'!T12</f>
        <v>5097</v>
      </c>
      <c r="J12" t="str">
        <f t="shared" ca="1" si="0"/>
        <v xml:space="preserve">350,  448, 25, 8, 5097, </v>
      </c>
      <c r="K12" t="str">
        <f t="shared" si="1"/>
        <v>// 10 yellow arrow 3</v>
      </c>
    </row>
    <row r="13" spans="1:11" x14ac:dyDescent="0.3">
      <c r="A13">
        <f>'modify this'!A13</f>
        <v>11</v>
      </c>
      <c r="B13" t="str">
        <f>'modify this'!B13</f>
        <v>yellow arrow 4</v>
      </c>
      <c r="C13">
        <f ca="1">'modify this'!C13</f>
        <v>539</v>
      </c>
      <c r="D13">
        <f>'modify this'!E13</f>
        <v>448</v>
      </c>
      <c r="E13">
        <f>'modify this'!F13</f>
        <v>25</v>
      </c>
      <c r="F13">
        <f>'modify this'!G13</f>
        <v>8</v>
      </c>
      <c r="G13">
        <f>'modify this'!T13</f>
        <v>5097</v>
      </c>
      <c r="J13" t="str">
        <f t="shared" ca="1" si="0"/>
        <v xml:space="preserve">539,  448, 25, 8, 5097, </v>
      </c>
      <c r="K13" t="str">
        <f t="shared" si="1"/>
        <v>// 11 yellow arrow 4</v>
      </c>
    </row>
    <row r="14" spans="1:11" x14ac:dyDescent="0.3">
      <c r="A14">
        <f>'modify this'!A14</f>
        <v>12</v>
      </c>
      <c r="B14" t="str">
        <f>'modify this'!B14</f>
        <v>yellow rect short</v>
      </c>
      <c r="C14">
        <f ca="1">'modify this'!C14</f>
        <v>106</v>
      </c>
      <c r="D14">
        <f>'modify this'!E14</f>
        <v>451</v>
      </c>
      <c r="E14">
        <f>'modify this'!F14</f>
        <v>146</v>
      </c>
      <c r="F14">
        <f>'modify this'!G14</f>
        <v>2</v>
      </c>
      <c r="G14">
        <f>'modify this'!T14</f>
        <v>5297</v>
      </c>
      <c r="J14" t="str">
        <f t="shared" ca="1" si="0"/>
        <v xml:space="preserve">106,  451, 146, 2, 5297, </v>
      </c>
      <c r="K14" t="str">
        <f t="shared" si="1"/>
        <v>// 12 yellow rect short</v>
      </c>
    </row>
    <row r="15" spans="1:11" x14ac:dyDescent="0.3">
      <c r="A15">
        <f>'modify this'!A15</f>
        <v>13</v>
      </c>
      <c r="B15" t="str">
        <f>'modify this'!B15</f>
        <v>yellow rect long</v>
      </c>
      <c r="C15">
        <f ca="1">'modify this'!C15</f>
        <v>376</v>
      </c>
      <c r="D15">
        <f>'modify this'!E15</f>
        <v>451</v>
      </c>
      <c r="E15">
        <f>'modify this'!F15</f>
        <v>162</v>
      </c>
      <c r="F15">
        <f>'modify this'!G15</f>
        <v>2</v>
      </c>
      <c r="G15">
        <f>'modify this'!T15</f>
        <v>5297</v>
      </c>
      <c r="J15" t="str">
        <f t="shared" ca="1" si="0"/>
        <v xml:space="preserve">376,  451, 162, 2, 5297, </v>
      </c>
      <c r="K15" t="str">
        <f t="shared" si="1"/>
        <v>// 13 yellow rect long</v>
      </c>
    </row>
    <row r="16" spans="1:11" x14ac:dyDescent="0.3">
      <c r="A16">
        <f>'modify this'!A16</f>
        <v>14</v>
      </c>
      <c r="B16" t="str">
        <f>'modify this'!B16</f>
        <v>open eye</v>
      </c>
      <c r="C16">
        <f ca="1">'modify this'!C16</f>
        <v>85</v>
      </c>
      <c r="D16">
        <f>'modify this'!E16</f>
        <v>435</v>
      </c>
      <c r="E16">
        <f>'modify this'!F16</f>
        <v>15</v>
      </c>
      <c r="F16">
        <f>'modify this'!G16</f>
        <v>12</v>
      </c>
      <c r="G16">
        <f>'modify this'!T16</f>
        <v>5621</v>
      </c>
      <c r="J16" t="str">
        <f t="shared" ca="1" si="0"/>
        <v xml:space="preserve">85,  435, 15, 12, 5621, </v>
      </c>
      <c r="K16" t="str">
        <f t="shared" si="1"/>
        <v>// 14 open eye</v>
      </c>
    </row>
    <row r="17" spans="1:11" x14ac:dyDescent="0.3">
      <c r="A17">
        <f>'modify this'!A17</f>
        <v>15</v>
      </c>
      <c r="B17" t="str">
        <f>'modify this'!B17</f>
        <v>eye1</v>
      </c>
      <c r="C17">
        <f ca="1">'modify this'!C17</f>
        <v>258</v>
      </c>
      <c r="D17">
        <f>'modify this'!E17</f>
        <v>435</v>
      </c>
      <c r="E17">
        <f>'modify this'!F17</f>
        <v>15</v>
      </c>
      <c r="F17">
        <f>'modify this'!G17</f>
        <v>12</v>
      </c>
      <c r="G17">
        <f>'modify this'!T17</f>
        <v>5801</v>
      </c>
      <c r="J17" t="str">
        <f t="shared" ca="1" si="0"/>
        <v xml:space="preserve">258,  435, 15, 12, 5801, </v>
      </c>
      <c r="K17" t="str">
        <f t="shared" si="1"/>
        <v>// 15 eye1</v>
      </c>
    </row>
    <row r="18" spans="1:11" x14ac:dyDescent="0.3">
      <c r="A18">
        <f>'modify this'!A18</f>
        <v>16</v>
      </c>
      <c r="B18" t="str">
        <f>'modify this'!B18</f>
        <v>eye2</v>
      </c>
      <c r="C18">
        <f ca="1">'modify this'!C18</f>
        <v>355</v>
      </c>
      <c r="D18">
        <f>'modify this'!E18</f>
        <v>435</v>
      </c>
      <c r="E18">
        <f>'modify this'!F18</f>
        <v>15</v>
      </c>
      <c r="F18">
        <f>'modify this'!G18</f>
        <v>12</v>
      </c>
      <c r="G18">
        <f>'modify this'!T18</f>
        <v>5801</v>
      </c>
      <c r="J18" t="str">
        <f t="shared" ca="1" si="0"/>
        <v xml:space="preserve">355,  435, 15, 12, 5801, </v>
      </c>
      <c r="K18" t="str">
        <f t="shared" si="1"/>
        <v>// 16 eye2</v>
      </c>
    </row>
    <row r="19" spans="1:11" x14ac:dyDescent="0.3">
      <c r="A19">
        <f>'modify this'!A19</f>
        <v>17</v>
      </c>
      <c r="B19" t="str">
        <f>'modify this'!B19</f>
        <v>eye3</v>
      </c>
      <c r="C19">
        <f ca="1">'modify this'!C19</f>
        <v>544</v>
      </c>
      <c r="D19">
        <f>'modify this'!E19</f>
        <v>435</v>
      </c>
      <c r="E19">
        <f>'modify this'!F19</f>
        <v>15</v>
      </c>
      <c r="F19">
        <f>'modify this'!G19</f>
        <v>12</v>
      </c>
      <c r="G19">
        <f>'modify this'!T19</f>
        <v>5801</v>
      </c>
      <c r="J19" t="str">
        <f t="shared" ca="1" si="0"/>
        <v xml:space="preserve">544,  435, 15, 12, 5801, </v>
      </c>
      <c r="K19" t="str">
        <f t="shared" si="1"/>
        <v>// 17 eye3</v>
      </c>
    </row>
    <row r="20" spans="1:11" x14ac:dyDescent="0.3">
      <c r="A20">
        <f>'modify this'!A20</f>
        <v>18</v>
      </c>
      <c r="B20" t="str">
        <f>'modify this'!B20</f>
        <v>thresholding</v>
      </c>
      <c r="C20">
        <f ca="1">'modify this'!C20</f>
        <v>262</v>
      </c>
      <c r="D20">
        <f>'modify this'!E20</f>
        <v>410</v>
      </c>
      <c r="E20">
        <f>'modify this'!F20</f>
        <v>105</v>
      </c>
      <c r="F20">
        <f>'modify this'!G20</f>
        <v>18</v>
      </c>
      <c r="G20">
        <f>'modify this'!T20</f>
        <v>5981</v>
      </c>
      <c r="J20" t="str">
        <f t="shared" ca="1" si="0"/>
        <v xml:space="preserve">262,  410, 105, 18, 5981, </v>
      </c>
      <c r="K20" t="str">
        <f t="shared" si="1"/>
        <v>// 18 thresholding</v>
      </c>
    </row>
    <row r="21" spans="1:11" x14ac:dyDescent="0.3">
      <c r="A21">
        <f>'modify this'!A21</f>
        <v>19</v>
      </c>
      <c r="B21" t="str">
        <f>'modify this'!B21</f>
        <v>bitmap</v>
      </c>
      <c r="C21">
        <f ca="1">'modify this'!C21</f>
        <v>282</v>
      </c>
      <c r="D21">
        <f>'modify this'!E21</f>
        <v>446</v>
      </c>
      <c r="E21">
        <f>'modify this'!F21</f>
        <v>64</v>
      </c>
      <c r="F21">
        <f>'modify this'!G21</f>
        <v>12</v>
      </c>
      <c r="G21">
        <f>'modify this'!T21</f>
        <v>7871</v>
      </c>
      <c r="J21" t="str">
        <f t="shared" ca="1" si="0"/>
        <v xml:space="preserve">282,  446, 64, 12, 7871, </v>
      </c>
      <c r="K21" t="str">
        <f t="shared" si="1"/>
        <v>// 19 bitmap</v>
      </c>
    </row>
    <row r="22" spans="1:11" x14ac:dyDescent="0.3">
      <c r="A22">
        <f>'modify this'!A22</f>
        <v>20</v>
      </c>
      <c r="B22" t="str">
        <f>'modify this'!B22</f>
        <v>morphology</v>
      </c>
      <c r="C22">
        <f ca="1">'modify this'!C22</f>
        <v>410</v>
      </c>
      <c r="D22">
        <f>'modify this'!E22</f>
        <v>410</v>
      </c>
      <c r="E22">
        <f>'modify this'!F22</f>
        <v>95</v>
      </c>
      <c r="F22">
        <f>'modify this'!G22</f>
        <v>18</v>
      </c>
      <c r="G22">
        <f>'modify this'!T22</f>
        <v>8639</v>
      </c>
      <c r="J22" t="str">
        <f t="shared" ca="1" si="0"/>
        <v xml:space="preserve">410,  410, 95, 18, 8639, </v>
      </c>
      <c r="K22" t="str">
        <f t="shared" si="1"/>
        <v>// 20 morphology</v>
      </c>
    </row>
    <row r="23" spans="1:11" x14ac:dyDescent="0.3">
      <c r="A23">
        <f>'modify this'!A23</f>
        <v>21</v>
      </c>
      <c r="B23" t="str">
        <f>'modify this'!B23</f>
        <v>obj detection</v>
      </c>
      <c r="C23">
        <f ca="1">'modify this'!C23</f>
        <v>558</v>
      </c>
      <c r="D23">
        <f>'modify this'!E23</f>
        <v>401</v>
      </c>
      <c r="E23">
        <f>'modify this'!F23</f>
        <v>77</v>
      </c>
      <c r="F23">
        <f>'modify this'!G23</f>
        <v>29</v>
      </c>
      <c r="G23">
        <f>'modify this'!T23</f>
        <v>10349</v>
      </c>
      <c r="J23" t="str">
        <f t="shared" ca="1" si="0"/>
        <v xml:space="preserve">558,  401, 77, 29, 10349, </v>
      </c>
      <c r="K23" t="str">
        <f t="shared" si="1"/>
        <v>// 21 obj detection</v>
      </c>
    </row>
    <row r="24" spans="1:11" x14ac:dyDescent="0.3">
      <c r="A24">
        <f>'modify this'!A24</f>
        <v>22</v>
      </c>
      <c r="B24" t="str">
        <f>'modify this'!B24</f>
        <v>ufds</v>
      </c>
      <c r="C24">
        <f ca="1">'modify this'!C24</f>
        <v>578</v>
      </c>
      <c r="D24">
        <f>'modify this'!E24</f>
        <v>446</v>
      </c>
      <c r="E24">
        <f>'modify this'!F24</f>
        <v>38</v>
      </c>
      <c r="F24">
        <f>'modify this'!G24</f>
        <v>12</v>
      </c>
      <c r="G24">
        <f>'modify this'!T24</f>
        <v>12582</v>
      </c>
      <c r="J24" t="str">
        <f t="shared" ca="1" si="0"/>
        <v xml:space="preserve">578,  446, 38, 12, 12582, </v>
      </c>
      <c r="K24" t="str">
        <f t="shared" si="1"/>
        <v>// 22 ufds</v>
      </c>
    </row>
    <row r="25" spans="1:11" x14ac:dyDescent="0.3">
      <c r="A25">
        <f>'modify this'!A25</f>
        <v>23</v>
      </c>
      <c r="B25" t="str">
        <f>'modify this'!B25</f>
        <v>image processing</v>
      </c>
      <c r="C25">
        <f ca="1">'modify this'!C25</f>
        <v>320</v>
      </c>
      <c r="D25">
        <f>'modify this'!E25</f>
        <v>330</v>
      </c>
      <c r="E25">
        <f>'modify this'!F25</f>
        <v>196</v>
      </c>
      <c r="F25">
        <f>'modify this'!G25</f>
        <v>18</v>
      </c>
      <c r="G25">
        <f>'modify this'!T25</f>
        <v>13038</v>
      </c>
      <c r="J25" t="str">
        <f t="shared" ca="1" si="0"/>
        <v xml:space="preserve">320,  330, 196, 18, 13038, </v>
      </c>
      <c r="K25" t="str">
        <f t="shared" si="1"/>
        <v>// 23 image processing</v>
      </c>
    </row>
    <row r="26" spans="1:11" x14ac:dyDescent="0.3">
      <c r="A26">
        <f>'modify this'!A26</f>
        <v>24</v>
      </c>
      <c r="B26" t="str">
        <f>'modify this'!B26</f>
        <v>gaussian edu tab</v>
      </c>
      <c r="C26">
        <f ca="1">'modify this'!C26</f>
        <v>362</v>
      </c>
      <c r="D26">
        <f>'modify this'!E26</f>
        <v>296</v>
      </c>
      <c r="E26">
        <f>'modify this'!F26</f>
        <v>281</v>
      </c>
      <c r="F26">
        <f>'modify this'!G26</f>
        <v>27</v>
      </c>
      <c r="G26">
        <f>'modify this'!T26</f>
        <v>16566</v>
      </c>
      <c r="J26" t="str">
        <f t="shared" ca="1" si="0"/>
        <v xml:space="preserve">362,  296, 281, 27, 16566, </v>
      </c>
      <c r="K26" t="str">
        <f t="shared" si="1"/>
        <v>// 24 gaussian edu tab</v>
      </c>
    </row>
    <row r="27" spans="1:11" x14ac:dyDescent="0.3">
      <c r="A27">
        <f>'modify this'!A27</f>
        <v>0</v>
      </c>
      <c r="B27" t="str">
        <f>'modify this'!B27</f>
        <v>median edu tab???</v>
      </c>
      <c r="C27" t="e">
        <f ca="1">'modify this'!C27</f>
        <v>#REF!</v>
      </c>
      <c r="D27">
        <f>'modify this'!E27</f>
        <v>0</v>
      </c>
      <c r="E27">
        <f>'modify this'!F27</f>
        <v>0</v>
      </c>
      <c r="F27">
        <f>'modify this'!G27</f>
        <v>0</v>
      </c>
      <c r="G27">
        <f>'modify this'!T27</f>
        <v>24153</v>
      </c>
      <c r="J27" t="e">
        <f t="shared" ca="1" si="0"/>
        <v>#REF!</v>
      </c>
      <c r="K27" t="str">
        <f t="shared" si="1"/>
        <v>// 0 median edu tab???</v>
      </c>
    </row>
    <row r="28" spans="1:11" x14ac:dyDescent="0.3">
      <c r="A28">
        <f>'modify this'!A28</f>
        <v>25</v>
      </c>
      <c r="B28" t="str">
        <f>'modify this'!B28</f>
        <v>Object</v>
      </c>
      <c r="C28">
        <f ca="1">'modify this'!C28</f>
        <v>34</v>
      </c>
      <c r="D28">
        <f>'modify this'!E28</f>
        <v>301</v>
      </c>
      <c r="E28">
        <f>'modify this'!F28</f>
        <v>52</v>
      </c>
      <c r="F28">
        <f>'modify this'!G28</f>
        <v>18</v>
      </c>
      <c r="G28">
        <f>'modify this'!T28</f>
        <v>24153</v>
      </c>
      <c r="J28" t="str">
        <f t="shared" ca="1" si="0"/>
        <v xml:space="preserve">34,  301, 52, 18, 24153, </v>
      </c>
      <c r="K28" t="str">
        <f t="shared" si="1"/>
        <v>// 25 Object</v>
      </c>
    </row>
    <row r="29" spans="1:11" x14ac:dyDescent="0.3">
      <c r="A29">
        <f>'modify this'!A29</f>
        <v>26</v>
      </c>
      <c r="B29" t="str">
        <f>'modify this'!B29</f>
        <v>Det Union Find</v>
      </c>
      <c r="C29">
        <f ca="1">'modify this'!C29</f>
        <v>88</v>
      </c>
      <c r="D29">
        <f>'modify this'!E29</f>
        <v>301</v>
      </c>
      <c r="E29">
        <f>'modify this'!F29</f>
        <v>169</v>
      </c>
      <c r="F29">
        <f>'modify this'!G29</f>
        <v>12</v>
      </c>
      <c r="G29">
        <f>'modify this'!T29</f>
        <v>25089</v>
      </c>
      <c r="J29" t="str">
        <f t="shared" ca="1" si="0"/>
        <v xml:space="preserve">88,  301, 169, 12, 25089, </v>
      </c>
      <c r="K29" t="str">
        <f t="shared" si="1"/>
        <v>// 26 Det Union Find</v>
      </c>
    </row>
    <row r="30" spans="1:11" x14ac:dyDescent="0.3">
      <c r="A30">
        <f>'modify this'!A30</f>
        <v>27</v>
      </c>
      <c r="B30" t="str">
        <f>'modify this'!B30</f>
        <v>Disjoint</v>
      </c>
      <c r="C30">
        <f ca="1">'modify this'!C30</f>
        <v>259</v>
      </c>
      <c r="D30">
        <f>'modify this'!E30</f>
        <v>301</v>
      </c>
      <c r="E30">
        <f>'modify this'!F30</f>
        <v>60</v>
      </c>
      <c r="F30">
        <f>'modify this'!G30</f>
        <v>18</v>
      </c>
      <c r="G30">
        <f>'modify this'!T30</f>
        <v>27117</v>
      </c>
      <c r="J30" t="str">
        <f t="shared" ca="1" si="0"/>
        <v xml:space="preserve">259,  301, 60, 18, 27117, </v>
      </c>
      <c r="K30" t="str">
        <f t="shared" si="1"/>
        <v>// 27 Disjoint</v>
      </c>
    </row>
    <row r="31" spans="1:11" x14ac:dyDescent="0.3">
      <c r="A31">
        <f>'modify this'!A31</f>
        <v>28</v>
      </c>
      <c r="B31" t="str">
        <f>'modify this'!B31</f>
        <v>Set</v>
      </c>
      <c r="C31">
        <f ca="1">'modify this'!C31</f>
        <v>321</v>
      </c>
      <c r="D31">
        <f>'modify this'!E31</f>
        <v>301</v>
      </c>
      <c r="E31">
        <f>'modify this'!F31</f>
        <v>26</v>
      </c>
      <c r="F31">
        <f>'modify this'!G31</f>
        <v>12</v>
      </c>
      <c r="G31">
        <f>'modify this'!T31</f>
        <v>28197</v>
      </c>
      <c r="J31" t="str">
        <f t="shared" ca="1" si="0"/>
        <v xml:space="preserve">321,  301, 26, 12, 28197, </v>
      </c>
      <c r="K31" t="str">
        <f t="shared" si="1"/>
        <v>// 28 Set</v>
      </c>
    </row>
    <row r="32" spans="1:11" x14ac:dyDescent="0.3">
      <c r="A32">
        <f>'modify this'!A32</f>
        <v>29</v>
      </c>
      <c r="B32" t="str">
        <f>'modify this'!B32</f>
        <v>Post</v>
      </c>
      <c r="C32">
        <f ca="1">'modify this'!C32</f>
        <v>25</v>
      </c>
      <c r="D32">
        <f>'modify this'!E32</f>
        <v>379</v>
      </c>
      <c r="E32">
        <f>'modify this'!F32</f>
        <v>35</v>
      </c>
      <c r="F32">
        <f>'modify this'!G32</f>
        <v>12</v>
      </c>
      <c r="G32">
        <f>'modify this'!T32</f>
        <v>28509</v>
      </c>
      <c r="J32" t="str">
        <f t="shared" ca="1" si="0"/>
        <v xml:space="preserve">25,  379, 35, 12, 28509, </v>
      </c>
      <c r="K32" t="str">
        <f t="shared" si="1"/>
        <v>// 29 Post</v>
      </c>
    </row>
    <row r="33" spans="1:11" x14ac:dyDescent="0.3">
      <c r="A33">
        <f>'modify this'!A33</f>
        <v>30</v>
      </c>
      <c r="B33" t="str">
        <f>'modify this'!B33</f>
        <v>Feed</v>
      </c>
      <c r="C33">
        <f ca="1">'modify this'!C33</f>
        <v>25</v>
      </c>
      <c r="D33">
        <f>'modify this'!E33</f>
        <v>393</v>
      </c>
      <c r="E33">
        <f>'modify this'!F33</f>
        <v>36</v>
      </c>
      <c r="F33">
        <f>'modify this'!G33</f>
        <v>12</v>
      </c>
      <c r="G33">
        <f>'modify this'!T33</f>
        <v>28929</v>
      </c>
      <c r="J33" t="str">
        <f t="shared" ca="1" si="0"/>
        <v xml:space="preserve">25,  393, 36, 12, 28929, </v>
      </c>
      <c r="K33" t="str">
        <f t="shared" si="1"/>
        <v>// 30 Feed</v>
      </c>
    </row>
    <row r="34" spans="1:11" x14ac:dyDescent="0.3">
      <c r="A34">
        <f>'modify this'!A34</f>
        <v>31</v>
      </c>
      <c r="B34" t="str">
        <f>'modify this'!B34</f>
        <v>open eye 4</v>
      </c>
      <c r="C34">
        <f ca="1">'modify this'!C34</f>
        <v>37</v>
      </c>
      <c r="D34">
        <f>'modify this'!E34</f>
        <v>435</v>
      </c>
      <c r="E34">
        <f>'modify this'!F34</f>
        <v>15</v>
      </c>
      <c r="F34">
        <f>'modify this'!G34</f>
        <v>12</v>
      </c>
      <c r="G34">
        <f>'modify this'!T34</f>
        <v>5621</v>
      </c>
      <c r="J34" t="str">
        <f t="shared" ca="1" si="0"/>
        <v xml:space="preserve">37,  435, 15, 12, 5621, </v>
      </c>
      <c r="K34" t="str">
        <f t="shared" si="1"/>
        <v>// 31 open eye 4</v>
      </c>
    </row>
    <row r="35" spans="1:11" x14ac:dyDescent="0.3">
      <c r="A35">
        <f>'modify this'!A35</f>
        <v>32</v>
      </c>
      <c r="B35" t="str">
        <f>'modify this'!B35</f>
        <v>yellow arrow 5</v>
      </c>
      <c r="C35">
        <f ca="1">'modify this'!C35</f>
        <v>33</v>
      </c>
      <c r="D35">
        <f>'modify this'!E35</f>
        <v>448</v>
      </c>
      <c r="E35">
        <f>'modify this'!F35</f>
        <v>25</v>
      </c>
      <c r="F35">
        <f>'modify this'!G35</f>
        <v>8</v>
      </c>
      <c r="G35">
        <f>'modify this'!T35</f>
        <v>5097</v>
      </c>
      <c r="J35" t="str">
        <f t="shared" ca="1" si="0"/>
        <v xml:space="preserve">33,  448, 25, 8, 5097, </v>
      </c>
      <c r="K35" t="str">
        <f t="shared" si="1"/>
        <v>// 32 yellow arrow 5</v>
      </c>
    </row>
    <row r="36" spans="1:11" x14ac:dyDescent="0.3">
      <c r="A36">
        <f>'modify this'!A36</f>
        <v>33</v>
      </c>
      <c r="B36" t="str">
        <f>'modify this'!B36</f>
        <v>Ready</v>
      </c>
      <c r="C36">
        <f ca="1">'modify this'!C36</f>
        <v>63</v>
      </c>
      <c r="D36">
        <f>'modify this'!E36</f>
        <v>444</v>
      </c>
      <c r="E36">
        <f>'modify this'!F36</f>
        <v>49</v>
      </c>
      <c r="F36">
        <f>'modify this'!G36</f>
        <v>12</v>
      </c>
      <c r="G36">
        <f>'modify this'!T36</f>
        <v>29361</v>
      </c>
      <c r="J36" t="str">
        <f t="shared" ca="1" si="0"/>
        <v xml:space="preserve">63,  444, 49, 12, 29361, </v>
      </c>
      <c r="K36" t="str">
        <f t="shared" si="1"/>
        <v>// 33 Ready</v>
      </c>
    </row>
    <row r="37" spans="1:11" x14ac:dyDescent="0.3">
      <c r="A37">
        <f>'modify this'!A37</f>
        <v>34</v>
      </c>
      <c r="B37" t="str">
        <f>'modify this'!B37</f>
        <v>Up→right</v>
      </c>
      <c r="C37">
        <f ca="1">'modify this'!C37</f>
        <v>78</v>
      </c>
      <c r="D37">
        <f>'modify this'!E37</f>
        <v>375</v>
      </c>
      <c r="E37">
        <f>'modify this'!F37</f>
        <v>4</v>
      </c>
      <c r="F37">
        <f>'modify this'!G37</f>
        <v>4</v>
      </c>
      <c r="G37">
        <f>'modify this'!T37</f>
        <v>29949</v>
      </c>
      <c r="J37" t="str">
        <f t="shared" ca="1" si="0"/>
        <v xml:space="preserve">78,  375, 4, 4, 29949, </v>
      </c>
      <c r="K37" t="str">
        <f t="shared" si="1"/>
        <v>// 34 Up→right</v>
      </c>
    </row>
    <row r="38" spans="1:11" x14ac:dyDescent="0.3">
      <c r="A38">
        <f>'modify this'!A38</f>
        <v>35</v>
      </c>
      <c r="B38" t="str">
        <f>'modify this'!B38</f>
        <v>Sample neighbour</v>
      </c>
      <c r="C38">
        <f ca="1">'modify this'!C38</f>
        <v>70</v>
      </c>
      <c r="D38">
        <f>'modify this'!E38</f>
        <v>331</v>
      </c>
      <c r="E38">
        <f>'modify this'!F38</f>
        <v>146</v>
      </c>
      <c r="F38">
        <f>'modify this'!G38</f>
        <v>18</v>
      </c>
      <c r="G38">
        <f>'modify this'!T38</f>
        <v>29965</v>
      </c>
      <c r="J38" t="str">
        <f t="shared" ca="1" si="0"/>
        <v xml:space="preserve">70,  331, 146, 18, 29965, </v>
      </c>
      <c r="K38" t="str">
        <f t="shared" si="1"/>
        <v>// 35 Sample neighbour</v>
      </c>
    </row>
    <row r="39" spans="1:11" x14ac:dyDescent="0.3">
      <c r="A39">
        <f>'modify this'!A39</f>
        <v>36</v>
      </c>
      <c r="B39" t="str">
        <f>'modify this'!B39</f>
        <v>Findroots</v>
      </c>
      <c r="C39">
        <f ca="1">'modify this'!C39</f>
        <v>101</v>
      </c>
      <c r="D39">
        <f>'modify this'!E39</f>
        <v>353</v>
      </c>
      <c r="E39">
        <f>'modify this'!F39</f>
        <v>83</v>
      </c>
      <c r="F39">
        <f>'modify this'!G39</f>
        <v>12</v>
      </c>
      <c r="G39">
        <f>'modify this'!T39</f>
        <v>32593</v>
      </c>
      <c r="J39" t="str">
        <f t="shared" ca="1" si="0"/>
        <v xml:space="preserve">101,  353, 83, 12, 32593, </v>
      </c>
      <c r="K39" t="str">
        <f t="shared" si="1"/>
        <v>// 36 Findroots</v>
      </c>
    </row>
    <row r="40" spans="1:11" x14ac:dyDescent="0.3">
      <c r="A40">
        <f>'modify this'!A40</f>
        <v>37</v>
      </c>
      <c r="B40" t="str">
        <f>'modify this'!B40</f>
        <v>small arrow</v>
      </c>
      <c r="C40">
        <f ca="1">'modify this'!C40</f>
        <v>82</v>
      </c>
      <c r="D40">
        <f>'modify this'!E40</f>
        <v>372</v>
      </c>
      <c r="E40">
        <f>'modify this'!F40</f>
        <v>13</v>
      </c>
      <c r="F40">
        <f>'modify this'!G40</f>
        <v>10</v>
      </c>
      <c r="G40">
        <f>'modify this'!T40</f>
        <v>33589</v>
      </c>
      <c r="J40" t="str">
        <f t="shared" ca="1" si="0"/>
        <v xml:space="preserve">82,  372, 13, 10, 33589, </v>
      </c>
      <c r="K40" t="str">
        <f t="shared" si="1"/>
        <v>// 37 small arrow</v>
      </c>
    </row>
    <row r="41" spans="1:11" x14ac:dyDescent="0.3">
      <c r="A41">
        <f>'modify this'!A41</f>
        <v>38</v>
      </c>
      <c r="B41" t="str">
        <f>'modify this'!B41</f>
        <v>small arrow 1</v>
      </c>
      <c r="C41">
        <f ca="1">'modify this'!C41</f>
        <v>106</v>
      </c>
      <c r="D41">
        <f>'modify this'!E41</f>
        <v>372</v>
      </c>
      <c r="E41">
        <f>'modify this'!F41</f>
        <v>13</v>
      </c>
      <c r="F41">
        <f>'modify this'!G41</f>
        <v>10</v>
      </c>
      <c r="G41">
        <f>'modify this'!T41</f>
        <v>33589</v>
      </c>
      <c r="J41" t="str">
        <f t="shared" ca="1" si="0"/>
        <v xml:space="preserve">106,  372, 13, 10, 33589, </v>
      </c>
      <c r="K41" t="str">
        <f t="shared" si="1"/>
        <v>// 38 small arrow 1</v>
      </c>
    </row>
    <row r="42" spans="1:11" x14ac:dyDescent="0.3">
      <c r="A42">
        <f>'modify this'!A42</f>
        <v>39</v>
      </c>
      <c r="B42" t="str">
        <f>'modify this'!B42</f>
        <v>small arrow 2</v>
      </c>
      <c r="C42">
        <f ca="1">'modify this'!C42</f>
        <v>140</v>
      </c>
      <c r="D42">
        <f>'modify this'!E42</f>
        <v>372</v>
      </c>
      <c r="E42">
        <f>'modify this'!F42</f>
        <v>13</v>
      </c>
      <c r="F42">
        <f>'modify this'!G42</f>
        <v>10</v>
      </c>
      <c r="G42">
        <f>'modify this'!T42</f>
        <v>33589</v>
      </c>
      <c r="J42" t="str">
        <f t="shared" ca="1" si="0"/>
        <v xml:space="preserve">140,  372, 13, 10, 33589, </v>
      </c>
      <c r="K42" t="str">
        <f t="shared" si="1"/>
        <v>// 39 small arrow 2</v>
      </c>
    </row>
    <row r="43" spans="1:11" x14ac:dyDescent="0.3">
      <c r="A43">
        <f>'modify this'!A43</f>
        <v>40</v>
      </c>
      <c r="B43" t="str">
        <f>'modify this'!B43</f>
        <v>small arrow 3</v>
      </c>
      <c r="C43">
        <f ca="1">'modify this'!C43</f>
        <v>165</v>
      </c>
      <c r="D43">
        <f>'modify this'!E43</f>
        <v>372</v>
      </c>
      <c r="E43">
        <f>'modify this'!F43</f>
        <v>13</v>
      </c>
      <c r="F43">
        <f>'modify this'!G43</f>
        <v>10</v>
      </c>
      <c r="G43">
        <f>'modify this'!T43</f>
        <v>33589</v>
      </c>
      <c r="J43" t="str">
        <f t="shared" ca="1" si="0"/>
        <v xml:space="preserve">165,  372, 13, 10, 33589, </v>
      </c>
      <c r="K43" t="str">
        <f t="shared" si="1"/>
        <v>// 40 small arrow 3</v>
      </c>
    </row>
    <row r="44" spans="1:11" x14ac:dyDescent="0.3">
      <c r="A44">
        <f>'modify this'!A44</f>
        <v>41</v>
      </c>
      <c r="B44" t="str">
        <f>'modify this'!B44</f>
        <v>L(eft)</v>
      </c>
      <c r="C44">
        <f ca="1">'modify this'!C44</f>
        <v>96</v>
      </c>
      <c r="D44">
        <f>'modify this'!E44</f>
        <v>371</v>
      </c>
      <c r="E44">
        <f>'modify this'!F44</f>
        <v>9</v>
      </c>
      <c r="F44">
        <f>'modify this'!G44</f>
        <v>12</v>
      </c>
      <c r="G44">
        <f>'modify this'!T44</f>
        <v>33719</v>
      </c>
      <c r="J44" t="str">
        <f t="shared" ca="1" si="0"/>
        <v xml:space="preserve">96,  371, 9, 12, 33719, </v>
      </c>
      <c r="K44" t="str">
        <f t="shared" si="1"/>
        <v>// 41 L(eft)</v>
      </c>
    </row>
    <row r="45" spans="1:11" x14ac:dyDescent="0.3">
      <c r="A45">
        <f>'modify this'!A45</f>
        <v>42</v>
      </c>
      <c r="B45" t="str">
        <f>'modify this'!B45</f>
        <v>U(p) L(eft)</v>
      </c>
      <c r="C45">
        <f ca="1">'modify this'!C45</f>
        <v>121</v>
      </c>
      <c r="D45">
        <f>'modify this'!E45</f>
        <v>371</v>
      </c>
      <c r="E45">
        <f>'modify this'!F45</f>
        <v>18</v>
      </c>
      <c r="F45">
        <f>'modify this'!G45</f>
        <v>12</v>
      </c>
      <c r="G45">
        <f>'modify this'!T45</f>
        <v>33827</v>
      </c>
      <c r="J45" t="str">
        <f t="shared" ca="1" si="0"/>
        <v xml:space="preserve">121,  371, 18, 12, 33827, </v>
      </c>
      <c r="K45" t="str">
        <f t="shared" si="1"/>
        <v>// 42 U(p) L(eft)</v>
      </c>
    </row>
    <row r="46" spans="1:11" x14ac:dyDescent="0.3">
      <c r="A46">
        <f>'modify this'!A46</f>
        <v>43</v>
      </c>
      <c r="B46" t="str">
        <f>'modify this'!B46</f>
        <v>U(p)</v>
      </c>
      <c r="C46">
        <f ca="1">'modify this'!C46</f>
        <v>154</v>
      </c>
      <c r="D46">
        <f>'modify this'!E46</f>
        <v>371</v>
      </c>
      <c r="E46">
        <f>'modify this'!F46</f>
        <v>10</v>
      </c>
      <c r="F46">
        <f>'modify this'!G46</f>
        <v>12</v>
      </c>
      <c r="G46">
        <f>'modify this'!T46</f>
        <v>34043</v>
      </c>
      <c r="J46" t="str">
        <f t="shared" ca="1" si="0"/>
        <v xml:space="preserve">154,  371, 10, 12, 34043, </v>
      </c>
      <c r="K46" t="str">
        <f t="shared" si="1"/>
        <v>// 43 U(p)</v>
      </c>
    </row>
    <row r="47" spans="1:11" x14ac:dyDescent="0.3">
      <c r="A47">
        <f>'modify this'!A47</f>
        <v>44</v>
      </c>
      <c r="B47" t="str">
        <f>'modify this'!B47</f>
        <v>U(p) R(ight)</v>
      </c>
      <c r="C47">
        <f ca="1">'modify this'!C47</f>
        <v>179</v>
      </c>
      <c r="D47">
        <f>'modify this'!E47</f>
        <v>371</v>
      </c>
      <c r="E47">
        <f>'modify this'!F47</f>
        <v>21</v>
      </c>
      <c r="F47">
        <f>'modify this'!G47</f>
        <v>12</v>
      </c>
      <c r="G47">
        <f>'modify this'!T47</f>
        <v>34163</v>
      </c>
      <c r="J47" t="str">
        <f t="shared" ca="1" si="0"/>
        <v xml:space="preserve">179,  371, 21, 12, 34163, </v>
      </c>
      <c r="K47" t="str">
        <f t="shared" si="1"/>
        <v>// 44 U(p) R(ight)</v>
      </c>
    </row>
    <row r="48" spans="1:11" x14ac:dyDescent="0.3">
      <c r="A48">
        <f>'modify this'!A48</f>
        <v>45</v>
      </c>
      <c r="B48" t="str">
        <f>'modify this'!B48</f>
        <v>FR grid</v>
      </c>
      <c r="C48">
        <f ca="1">'modify this'!C48</f>
        <v>103</v>
      </c>
      <c r="D48">
        <f>'modify this'!E48</f>
        <v>385</v>
      </c>
      <c r="E48">
        <f>'modify this'!F48</f>
        <v>88</v>
      </c>
      <c r="F48">
        <f>'modify this'!G48</f>
        <v>44</v>
      </c>
      <c r="G48">
        <f>'modify this'!T48</f>
        <v>34415</v>
      </c>
      <c r="J48" t="str">
        <f t="shared" ca="1" si="0"/>
        <v xml:space="preserve">103,  385, 88, 44, 34415, </v>
      </c>
      <c r="K48" t="str">
        <f t="shared" si="1"/>
        <v>// 45 FR grid</v>
      </c>
    </row>
    <row r="49" spans="1:11" x14ac:dyDescent="0.3">
      <c r="A49">
        <f>'modify this'!A49</f>
        <v>46</v>
      </c>
      <c r="B49" t="str">
        <f>'modify this'!B49</f>
        <v>right→down</v>
      </c>
      <c r="C49">
        <f ca="1">'modify this'!C49</f>
        <v>202</v>
      </c>
      <c r="D49">
        <f>'modify this'!E49</f>
        <v>375</v>
      </c>
      <c r="E49">
        <f>'modify this'!F49</f>
        <v>6</v>
      </c>
      <c r="F49">
        <f>'modify this'!G49</f>
        <v>4</v>
      </c>
      <c r="G49">
        <f>'modify this'!T49</f>
        <v>38287</v>
      </c>
      <c r="J49" t="str">
        <f t="shared" ca="1" si="0"/>
        <v xml:space="preserve">202,  375, 6, 4, 38287, </v>
      </c>
      <c r="K49" t="str">
        <f t="shared" si="1"/>
        <v>// 46 right→down</v>
      </c>
    </row>
    <row r="50" spans="1:11" x14ac:dyDescent="0.3">
      <c r="A50">
        <f>'modify this'!A50</f>
        <v>47</v>
      </c>
      <c r="B50" t="str">
        <f>'modify this'!B50</f>
        <v>down→right</v>
      </c>
      <c r="C50">
        <f ca="1">'modify this'!C50</f>
        <v>204</v>
      </c>
      <c r="D50">
        <f>'modify this'!E50</f>
        <v>401</v>
      </c>
      <c r="E50">
        <f>'modify this'!F50</f>
        <v>4</v>
      </c>
      <c r="F50">
        <f>'modify this'!G50</f>
        <v>4</v>
      </c>
      <c r="G50">
        <f>'modify this'!T50</f>
        <v>38311</v>
      </c>
      <c r="J50" t="str">
        <f t="shared" ca="1" si="0"/>
        <v xml:space="preserve">204,  401, 4, 4, 38311, </v>
      </c>
      <c r="K50" t="str">
        <f t="shared" si="1"/>
        <v>// 47 down→right</v>
      </c>
    </row>
    <row r="51" spans="1:11" x14ac:dyDescent="0.3">
      <c r="A51">
        <f>'modify this'!A51</f>
        <v>48</v>
      </c>
      <c r="B51" t="str">
        <f>'modify this'!B51</f>
        <v>small arrow 4</v>
      </c>
      <c r="C51">
        <f ca="1">'modify this'!C51</f>
        <v>215</v>
      </c>
      <c r="D51">
        <f>'modify this'!E51</f>
        <v>398</v>
      </c>
      <c r="E51">
        <f>'modify this'!F51</f>
        <v>13</v>
      </c>
      <c r="F51">
        <f>'modify this'!G51</f>
        <v>10</v>
      </c>
      <c r="G51">
        <f>'modify this'!T51</f>
        <v>33589</v>
      </c>
      <c r="J51" t="str">
        <f t="shared" ca="1" si="0"/>
        <v xml:space="preserve">215,  398, 13, 10, 33589, </v>
      </c>
      <c r="K51" t="str">
        <f t="shared" si="1"/>
        <v>// 48 small arrow 4</v>
      </c>
    </row>
    <row r="52" spans="1:11" x14ac:dyDescent="0.3">
      <c r="A52">
        <f>'modify this'!A52</f>
        <v>49</v>
      </c>
      <c r="B52" t="str">
        <f>'modify this'!B52</f>
        <v>Union</v>
      </c>
      <c r="C52">
        <f ca="1">'modify this'!C52</f>
        <v>250</v>
      </c>
      <c r="D52">
        <f>'modify this'!E52</f>
        <v>331</v>
      </c>
      <c r="E52">
        <f>'modify this'!F52</f>
        <v>44</v>
      </c>
      <c r="F52">
        <f>'modify this'!G52</f>
        <v>12</v>
      </c>
      <c r="G52">
        <f>'modify this'!T52</f>
        <v>38327</v>
      </c>
      <c r="J52" t="str">
        <f t="shared" ca="1" si="0"/>
        <v xml:space="preserve">250,  331, 44, 12, 38327, </v>
      </c>
      <c r="K52" t="str">
        <f t="shared" si="1"/>
        <v>// 49 Union</v>
      </c>
    </row>
    <row r="53" spans="1:11" x14ac:dyDescent="0.3">
      <c r="A53">
        <f>'modify this'!A53</f>
        <v>50</v>
      </c>
      <c r="B53" t="str">
        <f>'modify this'!B53</f>
        <v>Components</v>
      </c>
      <c r="C53">
        <f ca="1">'modify this'!C53</f>
        <v>225</v>
      </c>
      <c r="D53">
        <f>'modify this'!E53</f>
        <v>346</v>
      </c>
      <c r="E53">
        <f>'modify this'!F53</f>
        <v>96</v>
      </c>
      <c r="F53">
        <f>'modify this'!G53</f>
        <v>17</v>
      </c>
      <c r="G53">
        <f>'modify this'!T53</f>
        <v>38855</v>
      </c>
      <c r="J53" t="str">
        <f t="shared" ca="1" si="0"/>
        <v xml:space="preserve">225,  346, 96, 17, 38855, </v>
      </c>
      <c r="K53" t="str">
        <f t="shared" si="1"/>
        <v>// 50 Components</v>
      </c>
    </row>
    <row r="54" spans="1:11" x14ac:dyDescent="0.3">
      <c r="A54">
        <f>'modify this'!A54</f>
        <v>51</v>
      </c>
      <c r="B54" t="str">
        <f>'modify this'!B54</f>
        <v>UC grid</v>
      </c>
      <c r="C54">
        <f ca="1">'modify this'!C54</f>
        <v>245</v>
      </c>
      <c r="D54">
        <f>'modify this'!E54</f>
        <v>377</v>
      </c>
      <c r="E54">
        <f>'modify this'!F54</f>
        <v>55</v>
      </c>
      <c r="F54">
        <f>'modify this'!G54</f>
        <v>46</v>
      </c>
      <c r="G54">
        <f>'modify this'!T54</f>
        <v>40487</v>
      </c>
      <c r="J54" t="str">
        <f t="shared" ca="1" si="0"/>
        <v xml:space="preserve">245,  377, 55, 46, 40487, </v>
      </c>
      <c r="K54" t="str">
        <f t="shared" si="1"/>
        <v>// 51 UC grid</v>
      </c>
    </row>
    <row r="55" spans="1:11" x14ac:dyDescent="0.3">
      <c r="A55">
        <f>'modify this'!A55</f>
        <v>52</v>
      </c>
      <c r="B55" t="str">
        <f>'modify this'!B55</f>
        <v>small arrow 5</v>
      </c>
      <c r="C55">
        <f ca="1">'modify this'!C55</f>
        <v>318</v>
      </c>
      <c r="D55">
        <f>'modify this'!E55</f>
        <v>398</v>
      </c>
      <c r="E55">
        <f>'modify this'!F55</f>
        <v>13</v>
      </c>
      <c r="F55">
        <f>'modify this'!G55</f>
        <v>10</v>
      </c>
      <c r="G55">
        <f>'modify this'!T55</f>
        <v>33589</v>
      </c>
      <c r="J55" t="str">
        <f t="shared" ca="1" si="0"/>
        <v xml:space="preserve">318,  398, 13, 10, 33589, </v>
      </c>
      <c r="K55" t="str">
        <f t="shared" si="1"/>
        <v>// 52 small arrow 5</v>
      </c>
    </row>
    <row r="56" spans="1:11" x14ac:dyDescent="0.3">
      <c r="A56">
        <f>'modify this'!A56</f>
        <v>53</v>
      </c>
      <c r="B56" t="str">
        <f>'modify this'!B56</f>
        <v>Update</v>
      </c>
      <c r="C56">
        <f ca="1">'modify this'!C56</f>
        <v>333</v>
      </c>
      <c r="D56">
        <f>'modify this'!E56</f>
        <v>331</v>
      </c>
      <c r="E56">
        <f>'modify this'!F56</f>
        <v>55</v>
      </c>
      <c r="F56">
        <f>'modify this'!G56</f>
        <v>17</v>
      </c>
      <c r="G56">
        <f>'modify this'!T56</f>
        <v>43017</v>
      </c>
      <c r="J56" t="str">
        <f t="shared" ca="1" si="0"/>
        <v xml:space="preserve">333,  331, 55, 17, 43017, </v>
      </c>
      <c r="K56" t="str">
        <f t="shared" si="1"/>
        <v>// 53 Update</v>
      </c>
    </row>
    <row r="57" spans="1:11" x14ac:dyDescent="0.3">
      <c r="A57">
        <f>'modify this'!A57</f>
        <v>54</v>
      </c>
      <c r="B57" t="str">
        <f>'modify this'!B57</f>
        <v>Stats</v>
      </c>
      <c r="C57">
        <f ca="1">'modify this'!C57</f>
        <v>340</v>
      </c>
      <c r="D57">
        <f>'modify this'!E57</f>
        <v>351</v>
      </c>
      <c r="E57">
        <f>'modify this'!F57</f>
        <v>42</v>
      </c>
      <c r="F57">
        <f>'modify this'!G57</f>
        <v>12</v>
      </c>
      <c r="G57">
        <f>'modify this'!T57</f>
        <v>43952</v>
      </c>
      <c r="J57" t="str">
        <f t="shared" ca="1" si="0"/>
        <v xml:space="preserve">340,  351, 42, 12, 43952, </v>
      </c>
      <c r="K57" t="str">
        <f t="shared" si="1"/>
        <v>// 54 Stats</v>
      </c>
    </row>
    <row r="58" spans="1:11" x14ac:dyDescent="0.3">
      <c r="A58">
        <f>'modify this'!A58</f>
        <v>55</v>
      </c>
      <c r="B58" t="str">
        <f>'modify this'!B58</f>
        <v>US grid</v>
      </c>
      <c r="C58">
        <f ca="1">'modify this'!C58</f>
        <v>335</v>
      </c>
      <c r="D58">
        <f>'modify this'!E58</f>
        <v>377</v>
      </c>
      <c r="E58">
        <f>'modify this'!F58</f>
        <v>55</v>
      </c>
      <c r="F58">
        <f>'modify this'!G58</f>
        <v>46</v>
      </c>
      <c r="G58">
        <f>'modify this'!T58</f>
        <v>44456</v>
      </c>
      <c r="J58" t="str">
        <f t="shared" ca="1" si="0"/>
        <v xml:space="preserve">335,  377, 55, 46, 44456, </v>
      </c>
      <c r="K58" t="str">
        <f t="shared" si="1"/>
        <v>// 55 US grid</v>
      </c>
    </row>
    <row r="59" spans="1:11" x14ac:dyDescent="0.3">
      <c r="A59">
        <f>'modify this'!A59</f>
        <v>56</v>
      </c>
      <c r="B59" t="str">
        <f>'modify this'!B59</f>
        <v>down arrow 1</v>
      </c>
      <c r="C59">
        <f ca="1">'modify this'!C59</f>
        <v>364</v>
      </c>
      <c r="D59">
        <f>'modify this'!E59</f>
        <v>446</v>
      </c>
      <c r="E59">
        <f>'modify this'!F59</f>
        <v>10</v>
      </c>
      <c r="F59">
        <f>'modify this'!G59</f>
        <v>13</v>
      </c>
      <c r="G59">
        <f>'modify this'!T59</f>
        <v>46986</v>
      </c>
      <c r="J59" t="str">
        <f t="shared" ca="1" si="0"/>
        <v xml:space="preserve">364,  446, 10, 13, 46986, </v>
      </c>
      <c r="K59" t="str">
        <f t="shared" si="1"/>
        <v>// 56 down arrow 1</v>
      </c>
    </row>
    <row r="60" spans="1:11" x14ac:dyDescent="0.3">
      <c r="A60">
        <f>'modify this'!A60</f>
        <v>57</v>
      </c>
      <c r="B60" t="str">
        <f>'modify this'!B60</f>
        <v>down arrow 2</v>
      </c>
      <c r="C60">
        <f ca="1">'modify this'!C60</f>
        <v>338</v>
      </c>
      <c r="D60">
        <f>'modify this'!E60</f>
        <v>446</v>
      </c>
      <c r="E60">
        <f>'modify this'!F60</f>
        <v>10</v>
      </c>
      <c r="F60">
        <f>'modify this'!G60</f>
        <v>13</v>
      </c>
      <c r="G60">
        <f>'modify this'!T60</f>
        <v>46986</v>
      </c>
      <c r="J60" t="str">
        <f t="shared" ca="1" si="0"/>
        <v xml:space="preserve">338,  446, 10, 13, 46986, </v>
      </c>
      <c r="K60" t="str">
        <f t="shared" si="1"/>
        <v>// 57 down arrow 2</v>
      </c>
    </row>
    <row r="61" spans="1:11" x14ac:dyDescent="0.3">
      <c r="A61">
        <f>'modify this'!A61</f>
        <v>58</v>
      </c>
      <c r="B61" t="str">
        <f>'modify this'!B61</f>
        <v>right→down 2</v>
      </c>
      <c r="C61">
        <f ca="1">'modify this'!C61</f>
        <v>339</v>
      </c>
      <c r="D61">
        <f>'modify this'!E61</f>
        <v>442</v>
      </c>
      <c r="E61">
        <f>'modify this'!F61</f>
        <v>6</v>
      </c>
      <c r="F61">
        <f>'modify this'!G61</f>
        <v>4</v>
      </c>
      <c r="G61">
        <f>'modify this'!T61</f>
        <v>38287</v>
      </c>
      <c r="J61" t="str">
        <f t="shared" ca="1" si="0"/>
        <v xml:space="preserve">339,  442, 6, 4, 38287, </v>
      </c>
      <c r="K61" t="str">
        <f t="shared" si="1"/>
        <v>// 58 right→down 2</v>
      </c>
    </row>
    <row r="62" spans="1:11" x14ac:dyDescent="0.3">
      <c r="A62">
        <f>'modify this'!A62</f>
        <v>59</v>
      </c>
      <c r="B62" t="str">
        <f>'modify this'!B62</f>
        <v>Advance</v>
      </c>
      <c r="C62">
        <f ca="1">'modify this'!C62</f>
        <v>319</v>
      </c>
      <c r="D62">
        <f>'modify this'!E62</f>
        <v>460</v>
      </c>
      <c r="E62">
        <f>'modify this'!F62</f>
        <v>67</v>
      </c>
      <c r="F62">
        <f>'modify this'!G62</f>
        <v>12</v>
      </c>
      <c r="G62">
        <f>'modify this'!T62</f>
        <v>47116</v>
      </c>
      <c r="J62" t="str">
        <f t="shared" ca="1" si="0"/>
        <v xml:space="preserve">319,  460, 67, 12, 47116, </v>
      </c>
      <c r="K62" t="str">
        <f t="shared" si="1"/>
        <v>// 59 Advance</v>
      </c>
    </row>
    <row r="63" spans="1:11" x14ac:dyDescent="0.3">
      <c r="A63">
        <f>'modify this'!A63</f>
        <v>60</v>
      </c>
      <c r="B63" t="str">
        <f>'modify this'!B63</f>
        <v>Frame end =</v>
      </c>
      <c r="C63">
        <f ca="1">'modify this'!C63</f>
        <v>196</v>
      </c>
      <c r="D63">
        <f>'modify this'!E63</f>
        <v>458</v>
      </c>
      <c r="E63">
        <f>'modify this'!F63</f>
        <v>92</v>
      </c>
      <c r="F63">
        <f>'modify this'!G63</f>
        <v>12</v>
      </c>
      <c r="G63">
        <f>'modify this'!T63</f>
        <v>47920</v>
      </c>
      <c r="J63" t="str">
        <f t="shared" ca="1" si="0"/>
        <v xml:space="preserve">196,  458, 92, 12, 47920, </v>
      </c>
      <c r="K63" t="str">
        <f t="shared" si="1"/>
        <v>// 60 Frame end =</v>
      </c>
    </row>
    <row r="64" spans="1:11" x14ac:dyDescent="0.3">
      <c r="A64">
        <f>'modify this'!A64</f>
        <v>61</v>
      </c>
      <c r="B64" t="str">
        <f>'modify this'!B64</f>
        <v>0 (zero)</v>
      </c>
      <c r="C64">
        <f ca="1">'modify this'!C64</f>
        <v>289</v>
      </c>
      <c r="D64">
        <f>'modify this'!E64</f>
        <v>458</v>
      </c>
      <c r="E64">
        <f>'modify this'!F64</f>
        <v>10</v>
      </c>
      <c r="F64">
        <f>'modify this'!G64</f>
        <v>12</v>
      </c>
      <c r="G64">
        <f>'modify this'!T64</f>
        <v>49024</v>
      </c>
      <c r="J64" t="str">
        <f t="shared" ca="1" si="0"/>
        <v xml:space="preserve">289,  458, 10, 12, 49024, </v>
      </c>
      <c r="K64" t="str">
        <f t="shared" si="1"/>
        <v>// 61 0 (zero)</v>
      </c>
    </row>
    <row r="65" spans="1:11" x14ac:dyDescent="0.3">
      <c r="A65">
        <f>'modify this'!A65</f>
        <v>62</v>
      </c>
      <c r="B65" t="str">
        <f>'modify this'!B65</f>
        <v>bit =</v>
      </c>
      <c r="C65">
        <f ca="1">'modify this'!C65</f>
        <v>121</v>
      </c>
      <c r="D65">
        <f>'modify this'!E65</f>
        <v>447</v>
      </c>
      <c r="E65">
        <f>'modify this'!F65</f>
        <v>36</v>
      </c>
      <c r="F65">
        <f>'modify this'!G65</f>
        <v>12</v>
      </c>
      <c r="G65">
        <f>'modify this'!T65</f>
        <v>49144</v>
      </c>
      <c r="J65" t="str">
        <f t="shared" ca="1" si="0"/>
        <v xml:space="preserve">121,  447, 36, 12, 49144, </v>
      </c>
      <c r="K65" t="str">
        <f t="shared" si="1"/>
        <v>// 62 bit =</v>
      </c>
    </row>
    <row r="66" spans="1:11" x14ac:dyDescent="0.3">
      <c r="A66">
        <f>'modify this'!A66</f>
        <v>63</v>
      </c>
      <c r="B66" t="str">
        <f>'modify this'!B66</f>
        <v>0 (zero) 2</v>
      </c>
      <c r="C66">
        <f ca="1">'modify this'!C66</f>
        <v>158</v>
      </c>
      <c r="D66">
        <f>'modify this'!E66</f>
        <v>447</v>
      </c>
      <c r="E66">
        <f>'modify this'!F66</f>
        <v>10</v>
      </c>
      <c r="F66">
        <f>'modify this'!G66</f>
        <v>12</v>
      </c>
      <c r="G66">
        <f>'modify this'!T66</f>
        <v>49024</v>
      </c>
      <c r="J66" t="str">
        <f t="shared" ca="1" si="0"/>
        <v xml:space="preserve">158,  447, 10, 12, 49024, </v>
      </c>
      <c r="K66" t="str">
        <f t="shared" si="1"/>
        <v>// 63 0 (zero) 2</v>
      </c>
    </row>
    <row r="67" spans="1:11" x14ac:dyDescent="0.3">
      <c r="A67">
        <f>'modify this'!A67</f>
        <v>64</v>
      </c>
      <c r="B67" t="str">
        <f>'modify this'!B67</f>
        <v>left→up</v>
      </c>
      <c r="C67">
        <f ca="1">'modify this'!C67</f>
        <v>78</v>
      </c>
      <c r="D67">
        <f>'modify this'!E67</f>
        <v>471</v>
      </c>
      <c r="E67">
        <f>'modify this'!F67</f>
        <v>4</v>
      </c>
      <c r="F67">
        <f>'modify this'!G67</f>
        <v>4</v>
      </c>
      <c r="G67">
        <f>'modify this'!T67</f>
        <v>49576</v>
      </c>
      <c r="J67" t="str">
        <f t="shared" ref="J67:J130" ca="1" si="2">_xlfn.CONCAT(C67, ",  ", D67, ", ", E67, ", ", F67, ", ", G67, ", ")</f>
        <v xml:space="preserve">78,  471, 4, 4, 49576, </v>
      </c>
      <c r="K67" t="str">
        <f t="shared" ref="K67:K130" si="3">_xlfn.CONCAT("// ", A67, " ", B67)</f>
        <v>// 64 left→up</v>
      </c>
    </row>
    <row r="68" spans="1:11" x14ac:dyDescent="0.3">
      <c r="A68">
        <f>'modify this'!A68</f>
        <v>65</v>
      </c>
      <c r="B68" t="str">
        <f>'modify this'!B68</f>
        <v>up arrow</v>
      </c>
      <c r="C68">
        <f ca="1">'modify this'!C68</f>
        <v>75</v>
      </c>
      <c r="D68">
        <f>'modify this'!E68</f>
        <v>458</v>
      </c>
      <c r="E68">
        <f>'modify this'!F68</f>
        <v>10</v>
      </c>
      <c r="F68">
        <f>'modify this'!G68</f>
        <v>13</v>
      </c>
      <c r="G68">
        <f>'modify this'!T68</f>
        <v>49592</v>
      </c>
      <c r="J68" t="str">
        <f t="shared" ca="1" si="2"/>
        <v xml:space="preserve">75,  458, 10, 13, 49592, </v>
      </c>
      <c r="K68" t="str">
        <f t="shared" si="3"/>
        <v>// 65 up arrow</v>
      </c>
    </row>
    <row r="69" spans="1:11" x14ac:dyDescent="0.3">
      <c r="A69">
        <f>'modify this'!A69</f>
        <v>66</v>
      </c>
      <c r="B69" t="str">
        <f>'modify this'!B69</f>
        <v>1 (one)</v>
      </c>
      <c r="C69">
        <f ca="1">'modify this'!C69</f>
        <v>86</v>
      </c>
      <c r="D69">
        <f>'modify this'!E69</f>
        <v>396</v>
      </c>
      <c r="E69">
        <f>'modify this'!F69</f>
        <v>3</v>
      </c>
      <c r="F69">
        <f>'modify this'!G69</f>
        <v>12</v>
      </c>
      <c r="G69">
        <f>'modify this'!T69</f>
        <v>49722</v>
      </c>
      <c r="J69" t="str">
        <f t="shared" ca="1" si="2"/>
        <v xml:space="preserve">86,  396, 3, 12, 49722, </v>
      </c>
      <c r="K69" t="str">
        <f t="shared" si="3"/>
        <v>// 66 1 (one)</v>
      </c>
    </row>
    <row r="70" spans="1:11" x14ac:dyDescent="0.3">
      <c r="A70">
        <f>'modify this'!A70</f>
        <v>67</v>
      </c>
      <c r="B70" t="str">
        <f>'modify this'!B70</f>
        <v>right→up</v>
      </c>
      <c r="C70">
        <f ca="1">'modify this'!C70</f>
        <v>401</v>
      </c>
      <c r="D70">
        <f>'modify this'!E70</f>
        <v>465</v>
      </c>
      <c r="E70">
        <f>'modify this'!F70</f>
        <v>4</v>
      </c>
      <c r="F70">
        <f>'modify this'!G70</f>
        <v>4</v>
      </c>
      <c r="G70">
        <f>'modify this'!T70</f>
        <v>49758</v>
      </c>
      <c r="J70" t="str">
        <f t="shared" ca="1" si="2"/>
        <v xml:space="preserve">401,  465, 4, 4, 49758, </v>
      </c>
      <c r="K70" t="str">
        <f t="shared" si="3"/>
        <v>// 67 right→up</v>
      </c>
    </row>
    <row r="71" spans="1:11" x14ac:dyDescent="0.3">
      <c r="A71">
        <f>'modify this'!A71</f>
        <v>68</v>
      </c>
      <c r="B71" t="str">
        <f>'modify this'!B71</f>
        <v>up→right</v>
      </c>
      <c r="C71">
        <f ca="1">'modify this'!C71</f>
        <v>401</v>
      </c>
      <c r="D71">
        <f>'modify this'!E71</f>
        <v>401</v>
      </c>
      <c r="E71">
        <f>'modify this'!F71</f>
        <v>4</v>
      </c>
      <c r="F71">
        <f>'modify this'!G71</f>
        <v>4</v>
      </c>
      <c r="G71">
        <f>'modify this'!T71</f>
        <v>49774</v>
      </c>
      <c r="J71" t="str">
        <f t="shared" ca="1" si="2"/>
        <v xml:space="preserve">401,  401, 4, 4, 49774, </v>
      </c>
      <c r="K71" t="str">
        <f t="shared" si="3"/>
        <v>// 68 up→right</v>
      </c>
    </row>
    <row r="72" spans="1:11" x14ac:dyDescent="0.3">
      <c r="A72">
        <f>'modify this'!A72</f>
        <v>69</v>
      </c>
      <c r="B72" t="str">
        <f>'modify this'!B72</f>
        <v>small arrow 6</v>
      </c>
      <c r="C72">
        <f ca="1">'modify this'!C72</f>
        <v>405</v>
      </c>
      <c r="D72">
        <f>'modify this'!E72</f>
        <v>398</v>
      </c>
      <c r="E72">
        <f>'modify this'!F72</f>
        <v>13</v>
      </c>
      <c r="F72">
        <f>'modify this'!G72</f>
        <v>10</v>
      </c>
      <c r="G72">
        <f>'modify this'!T72</f>
        <v>33589</v>
      </c>
      <c r="J72" t="str">
        <f t="shared" ca="1" si="2"/>
        <v xml:space="preserve">405,  398, 13, 10, 33589, </v>
      </c>
      <c r="K72" t="str">
        <f t="shared" si="3"/>
        <v>// 69 small arrow 6</v>
      </c>
    </row>
    <row r="73" spans="1:11" x14ac:dyDescent="0.3">
      <c r="A73">
        <f>'modify this'!A73</f>
        <v>70</v>
      </c>
      <c r="B73" t="str">
        <f>'modify this'!B73</f>
        <v>Filter</v>
      </c>
      <c r="C73">
        <f ca="1">'modify this'!C73</f>
        <v>426</v>
      </c>
      <c r="D73">
        <f>'modify this'!E73</f>
        <v>331</v>
      </c>
      <c r="E73">
        <f>'modify this'!F73</f>
        <v>42</v>
      </c>
      <c r="F73">
        <f>'modify this'!G73</f>
        <v>12</v>
      </c>
      <c r="G73">
        <f>'modify this'!T73</f>
        <v>49790</v>
      </c>
      <c r="J73" t="str">
        <f t="shared" ca="1" si="2"/>
        <v xml:space="preserve">426,  331, 42, 12, 49790, </v>
      </c>
      <c r="K73" t="str">
        <f t="shared" si="3"/>
        <v>// 70 Filter</v>
      </c>
    </row>
    <row r="74" spans="1:11" x14ac:dyDescent="0.3">
      <c r="A74">
        <f>'modify this'!A74</f>
        <v>71</v>
      </c>
      <c r="B74" t="str">
        <f>'modify this'!B74</f>
        <v>and</v>
      </c>
      <c r="C74">
        <f ca="1">'modify this'!C74</f>
        <v>433</v>
      </c>
      <c r="D74">
        <f>'modify this'!E74</f>
        <v>346</v>
      </c>
      <c r="E74">
        <f>'modify this'!F74</f>
        <v>29</v>
      </c>
      <c r="F74">
        <f>'modify this'!G74</f>
        <v>12</v>
      </c>
      <c r="G74">
        <f>'modify this'!T74</f>
        <v>50294</v>
      </c>
      <c r="J74" t="str">
        <f t="shared" ca="1" si="2"/>
        <v xml:space="preserve">433,  346, 29, 12, 50294, </v>
      </c>
      <c r="K74" t="str">
        <f t="shared" si="3"/>
        <v>// 71 and</v>
      </c>
    </row>
    <row r="75" spans="1:11" x14ac:dyDescent="0.3">
      <c r="A75">
        <f>'modify this'!A75</f>
        <v>72</v>
      </c>
      <c r="B75" t="str">
        <f>'modify this'!B75</f>
        <v>Refine</v>
      </c>
      <c r="C75">
        <f ca="1">'modify this'!C75</f>
        <v>422</v>
      </c>
      <c r="D75">
        <f>'modify this'!E75</f>
        <v>361</v>
      </c>
      <c r="E75">
        <f>'modify this'!F75</f>
        <v>50</v>
      </c>
      <c r="F75">
        <f>'modify this'!G75</f>
        <v>12</v>
      </c>
      <c r="G75">
        <f>'modify this'!T75</f>
        <v>50642</v>
      </c>
      <c r="J75" t="str">
        <f t="shared" ca="1" si="2"/>
        <v xml:space="preserve">422,  361, 50, 12, 50642, </v>
      </c>
      <c r="K75" t="str">
        <f t="shared" si="3"/>
        <v>// 72 Refine</v>
      </c>
    </row>
    <row r="76" spans="1:11" x14ac:dyDescent="0.3">
      <c r="A76">
        <f>'modify this'!A76</f>
        <v>73</v>
      </c>
      <c r="B76" t="str">
        <f>'modify this'!B76</f>
        <v>Frame end = 2</v>
      </c>
      <c r="C76">
        <f ca="1">'modify this'!C76</f>
        <v>410</v>
      </c>
      <c r="D76">
        <f>'modify this'!E76</f>
        <v>459</v>
      </c>
      <c r="E76">
        <f>'modify this'!F76</f>
        <v>92</v>
      </c>
      <c r="F76">
        <f>'modify this'!G76</f>
        <v>12</v>
      </c>
      <c r="G76">
        <f>'modify this'!T76</f>
        <v>47920</v>
      </c>
      <c r="J76" t="str">
        <f t="shared" ca="1" si="2"/>
        <v xml:space="preserve">410,  459, 92, 12, 47920, </v>
      </c>
      <c r="K76" t="str">
        <f t="shared" si="3"/>
        <v>// 73 Frame end = 2</v>
      </c>
    </row>
    <row r="77" spans="1:11" x14ac:dyDescent="0.3">
      <c r="A77">
        <f>'modify this'!A77</f>
        <v>74</v>
      </c>
      <c r="B77" t="str">
        <f>'modify this'!B77</f>
        <v>1 (one) 2</v>
      </c>
      <c r="C77">
        <f ca="1">'modify this'!C77</f>
        <v>504</v>
      </c>
      <c r="D77">
        <f>'modify this'!E77</f>
        <v>459</v>
      </c>
      <c r="E77">
        <f>'modify this'!F77</f>
        <v>3</v>
      </c>
      <c r="F77">
        <f>'modify this'!G77</f>
        <v>12</v>
      </c>
      <c r="G77">
        <f>'modify this'!T77</f>
        <v>49722</v>
      </c>
      <c r="J77" t="str">
        <f t="shared" ca="1" si="2"/>
        <v xml:space="preserve">504,  459, 3, 12, 49722, </v>
      </c>
      <c r="K77" t="str">
        <f t="shared" si="3"/>
        <v>// 74 1 (one) 2</v>
      </c>
    </row>
    <row r="78" spans="1:11" x14ac:dyDescent="0.3">
      <c r="A78">
        <f>'modify this'!A78</f>
        <v>75</v>
      </c>
      <c r="B78" t="str">
        <f>'modify this'!B78</f>
        <v>small arrow 7</v>
      </c>
      <c r="C78">
        <f ca="1">'modify this'!C78</f>
        <v>490</v>
      </c>
      <c r="D78">
        <f>'modify this'!E78</f>
        <v>398</v>
      </c>
      <c r="E78">
        <f>'modify this'!F78</f>
        <v>13</v>
      </c>
      <c r="F78">
        <f>'modify this'!G78</f>
        <v>10</v>
      </c>
      <c r="G78">
        <f>'modify this'!T78</f>
        <v>33589</v>
      </c>
      <c r="J78" t="str">
        <f t="shared" ca="1" si="2"/>
        <v xml:space="preserve">490,  398, 13, 10, 33589, </v>
      </c>
      <c r="K78" t="str">
        <f t="shared" si="3"/>
        <v>// 75 small arrow 7</v>
      </c>
    </row>
    <row r="79" spans="1:11" x14ac:dyDescent="0.3">
      <c r="A79">
        <f>'modify this'!A79</f>
        <v>76</v>
      </c>
      <c r="B79" t="str">
        <f>'modify this'!B79</f>
        <v>Bounding</v>
      </c>
      <c r="C79">
        <f ca="1">'modify this'!C79</f>
        <v>510</v>
      </c>
      <c r="D79">
        <f>'modify this'!E79</f>
        <v>331</v>
      </c>
      <c r="E79">
        <f>'modify this'!F79</f>
        <v>74</v>
      </c>
      <c r="F79">
        <f>'modify this'!G79</f>
        <v>18</v>
      </c>
      <c r="G79">
        <f>'modify this'!T79</f>
        <v>51242</v>
      </c>
      <c r="J79" t="str">
        <f t="shared" ca="1" si="2"/>
        <v xml:space="preserve">510,  331, 74, 18, 51242, </v>
      </c>
      <c r="K79" t="str">
        <f t="shared" si="3"/>
        <v>// 76 Bounding</v>
      </c>
    </row>
    <row r="80" spans="1:11" x14ac:dyDescent="0.3">
      <c r="A80">
        <f>'modify this'!A80</f>
        <v>77</v>
      </c>
      <c r="B80" t="str">
        <f>'modify this'!B80</f>
        <v>Box</v>
      </c>
      <c r="C80">
        <f ca="1">'modify this'!C80</f>
        <v>532</v>
      </c>
      <c r="D80">
        <f>'modify this'!E80</f>
        <v>352</v>
      </c>
      <c r="E80">
        <f>'modify this'!F80</f>
        <v>30</v>
      </c>
      <c r="F80">
        <f>'modify this'!G80</f>
        <v>12</v>
      </c>
      <c r="G80">
        <f>'modify this'!T80</f>
        <v>52574</v>
      </c>
      <c r="J80" t="str">
        <f t="shared" ca="1" si="2"/>
        <v xml:space="preserve">532,  352, 30, 12, 52574, </v>
      </c>
      <c r="K80" t="str">
        <f t="shared" si="3"/>
        <v>// 77 Box</v>
      </c>
    </row>
    <row r="81" spans="1:11" x14ac:dyDescent="0.3">
      <c r="A81">
        <f>'modify this'!A81</f>
        <v>78</v>
      </c>
      <c r="B81" t="str">
        <f>'modify this'!B81</f>
        <v>num1</v>
      </c>
      <c r="C81">
        <f ca="1">'modify this'!C81</f>
        <v>511</v>
      </c>
      <c r="D81">
        <f>'modify this'!E81</f>
        <v>394</v>
      </c>
      <c r="E81">
        <f>'modify this'!F81</f>
        <v>3</v>
      </c>
      <c r="F81">
        <f>'modify this'!G81</f>
        <v>18</v>
      </c>
      <c r="G81">
        <f>'modify this'!T81</f>
        <v>52934</v>
      </c>
      <c r="J81" t="str">
        <f t="shared" ca="1" si="2"/>
        <v xml:space="preserve">511,  394, 3, 18, 52934, </v>
      </c>
      <c r="K81" t="str">
        <f t="shared" si="3"/>
        <v>// 78 num1</v>
      </c>
    </row>
    <row r="82" spans="1:11" x14ac:dyDescent="0.3">
      <c r="A82">
        <f>'modify this'!A82</f>
        <v>79</v>
      </c>
      <c r="B82" t="str">
        <f>'modify this'!B82</f>
        <v>num2</v>
      </c>
      <c r="C82">
        <f ca="1">'modify this'!C82</f>
        <v>529</v>
      </c>
      <c r="D82">
        <f>'modify this'!E82</f>
        <v>394</v>
      </c>
      <c r="E82">
        <f>'modify this'!F82</f>
        <v>13</v>
      </c>
      <c r="F82">
        <f>'modify this'!G82</f>
        <v>18</v>
      </c>
      <c r="G82">
        <f>'modify this'!T82</f>
        <v>52988</v>
      </c>
      <c r="J82" t="str">
        <f t="shared" ca="1" si="2"/>
        <v xml:space="preserve">529,  394, 13, 18, 52988, </v>
      </c>
      <c r="K82" t="str">
        <f t="shared" si="3"/>
        <v>// 79 num2</v>
      </c>
    </row>
    <row r="83" spans="1:11" x14ac:dyDescent="0.3">
      <c r="A83">
        <f>'modify this'!A83</f>
        <v>80</v>
      </c>
      <c r="B83" t="str">
        <f>'modify this'!B83</f>
        <v>num3</v>
      </c>
      <c r="C83">
        <f ca="1">'modify this'!C83</f>
        <v>553</v>
      </c>
      <c r="D83">
        <f>'modify this'!E83</f>
        <v>394</v>
      </c>
      <c r="E83">
        <f>'modify this'!F83</f>
        <v>11</v>
      </c>
      <c r="F83">
        <f>'modify this'!G83</f>
        <v>18</v>
      </c>
      <c r="G83">
        <f>'modify this'!T83</f>
        <v>53222</v>
      </c>
      <c r="J83" t="str">
        <f t="shared" ca="1" si="2"/>
        <v xml:space="preserve">553,  394, 11, 18, 53222, </v>
      </c>
      <c r="K83" t="str">
        <f t="shared" si="3"/>
        <v>// 80 num3</v>
      </c>
    </row>
    <row r="84" spans="1:11" x14ac:dyDescent="0.3">
      <c r="A84">
        <f>'modify this'!A84</f>
        <v>81</v>
      </c>
      <c r="B84" t="str">
        <f>'modify this'!B84</f>
        <v>num4</v>
      </c>
      <c r="C84">
        <f ca="1">'modify this'!C84</f>
        <v>575</v>
      </c>
      <c r="D84">
        <f>'modify this'!E84</f>
        <v>394</v>
      </c>
      <c r="E84">
        <f>'modify this'!F84</f>
        <v>15</v>
      </c>
      <c r="F84">
        <f>'modify this'!G84</f>
        <v>18</v>
      </c>
      <c r="G84">
        <f>'modify this'!T84</f>
        <v>53420</v>
      </c>
      <c r="J84" t="str">
        <f t="shared" ca="1" si="2"/>
        <v xml:space="preserve">575,  394, 15, 18, 53420, </v>
      </c>
      <c r="K84" t="str">
        <f t="shared" si="3"/>
        <v>// 81 num4</v>
      </c>
    </row>
    <row r="85" spans="1:11" x14ac:dyDescent="0.3">
      <c r="A85">
        <f>'modify this'!A85</f>
        <v>82</v>
      </c>
      <c r="B85" t="str">
        <f>'modify this'!B85</f>
        <v>big 4</v>
      </c>
      <c r="C85">
        <f ca="1">'modify this'!C85</f>
        <v>426</v>
      </c>
      <c r="D85">
        <f>'modify this'!E85</f>
        <v>390</v>
      </c>
      <c r="E85">
        <f>'modify this'!F85</f>
        <v>20</v>
      </c>
      <c r="F85">
        <f>'modify this'!G85</f>
        <v>23</v>
      </c>
      <c r="G85">
        <f>'modify this'!T85</f>
        <v>53690</v>
      </c>
      <c r="J85" t="str">
        <f t="shared" ca="1" si="2"/>
        <v xml:space="preserve">426,  390, 20, 23, 53690, </v>
      </c>
      <c r="K85" t="str">
        <f t="shared" si="3"/>
        <v>// 82 big 4</v>
      </c>
    </row>
    <row r="86" spans="1:11" x14ac:dyDescent="0.3">
      <c r="A86">
        <f>'modify this'!A86</f>
        <v>83</v>
      </c>
      <c r="B86" t="str">
        <f>'modify this'!B86</f>
        <v>big 16</v>
      </c>
      <c r="C86">
        <f ca="1">'modify this'!C86</f>
        <v>459</v>
      </c>
      <c r="D86">
        <f>'modify this'!E86</f>
        <v>391</v>
      </c>
      <c r="E86">
        <f>'modify this'!F86</f>
        <v>20</v>
      </c>
      <c r="F86">
        <f>'modify this'!G86</f>
        <v>21</v>
      </c>
      <c r="G86">
        <f>'modify this'!T86</f>
        <v>54150</v>
      </c>
      <c r="J86" t="str">
        <f t="shared" ca="1" si="2"/>
        <v xml:space="preserve">459,  391, 20, 21, 54150, </v>
      </c>
      <c r="K86" t="str">
        <f t="shared" si="3"/>
        <v>// 83 big 16</v>
      </c>
    </row>
    <row r="87" spans="1:11" x14ac:dyDescent="0.3">
      <c r="A87">
        <f>'modify this'!A87</f>
        <v>84</v>
      </c>
      <c r="B87" t="str">
        <f>'modify this'!B87</f>
        <v>big 36</v>
      </c>
      <c r="C87">
        <f ca="1">'modify this'!C87</f>
        <v>425</v>
      </c>
      <c r="D87">
        <f>'modify this'!E87</f>
        <v>421</v>
      </c>
      <c r="E87">
        <f>'modify this'!F87</f>
        <v>23</v>
      </c>
      <c r="F87">
        <f>'modify this'!G87</f>
        <v>21</v>
      </c>
      <c r="G87">
        <f>'modify this'!T87</f>
        <v>54570</v>
      </c>
      <c r="J87" t="str">
        <f t="shared" ca="1" si="2"/>
        <v xml:space="preserve">425,  421, 23, 21, 54570, </v>
      </c>
      <c r="K87" t="str">
        <f t="shared" si="3"/>
        <v>// 84 big 36</v>
      </c>
    </row>
    <row r="88" spans="1:11" x14ac:dyDescent="0.3">
      <c r="A88">
        <f>'modify this'!A88</f>
        <v>85</v>
      </c>
      <c r="B88" t="str">
        <f>'modify this'!B88</f>
        <v>big 64</v>
      </c>
      <c r="C88">
        <f ca="1">'modify this'!C88</f>
        <v>457</v>
      </c>
      <c r="D88">
        <f>'modify this'!E88</f>
        <v>421</v>
      </c>
      <c r="E88">
        <f>'modify this'!F88</f>
        <v>23</v>
      </c>
      <c r="F88">
        <f>'modify this'!G88</f>
        <v>21</v>
      </c>
      <c r="G88">
        <f>'modify this'!T88</f>
        <v>55053</v>
      </c>
      <c r="J88" t="str">
        <f t="shared" ca="1" si="2"/>
        <v xml:space="preserve">457,  421, 23, 21, 55053, </v>
      </c>
      <c r="K88" t="str">
        <f t="shared" si="3"/>
        <v>// 85 big 64</v>
      </c>
    </row>
    <row r="89" spans="1:11" x14ac:dyDescent="0.3">
      <c r="A89">
        <f>'modify this'!A89</f>
        <v>86</v>
      </c>
      <c r="B89" t="str">
        <f>'modify this'!B89</f>
        <v>T</v>
      </c>
      <c r="C89">
        <f ca="1">'modify this'!C89</f>
        <v>609</v>
      </c>
      <c r="D89">
        <f>'modify this'!E89</f>
        <v>328</v>
      </c>
      <c r="E89">
        <f>'modify this'!F89</f>
        <v>24</v>
      </c>
      <c r="F89">
        <f>'modify this'!G89</f>
        <v>30</v>
      </c>
      <c r="G89">
        <f>'modify this'!T89</f>
        <v>55536</v>
      </c>
      <c r="J89" t="str">
        <f t="shared" ca="1" si="2"/>
        <v xml:space="preserve">609,  328, 24, 30, 55536, </v>
      </c>
      <c r="K89" t="str">
        <f t="shared" si="3"/>
        <v>// 86 T</v>
      </c>
    </row>
    <row r="90" spans="1:11" x14ac:dyDescent="0.3">
      <c r="A90">
        <f>'modify this'!A90</f>
        <v>87</v>
      </c>
      <c r="B90" t="str">
        <f>'modify this'!B90</f>
        <v>R</v>
      </c>
      <c r="C90">
        <f ca="1">'modify this'!C90</f>
        <v>608</v>
      </c>
      <c r="D90">
        <f>'modify this'!E90</f>
        <v>358</v>
      </c>
      <c r="E90">
        <f>'modify this'!F90</f>
        <v>26</v>
      </c>
      <c r="F90">
        <f>'modify this'!G90</f>
        <v>30</v>
      </c>
      <c r="G90">
        <f>'modify this'!T90</f>
        <v>56256</v>
      </c>
      <c r="J90" t="str">
        <f t="shared" ca="1" si="2"/>
        <v xml:space="preserve">608,  358, 26, 30, 56256, </v>
      </c>
      <c r="K90" t="str">
        <f t="shared" si="3"/>
        <v>// 87 R</v>
      </c>
    </row>
    <row r="91" spans="1:11" x14ac:dyDescent="0.3">
      <c r="A91">
        <f>'modify this'!A91</f>
        <v>88</v>
      </c>
      <c r="B91" t="str">
        <f>'modify this'!B91</f>
        <v>AC</v>
      </c>
      <c r="C91">
        <f ca="1">'modify this'!C91</f>
        <v>607</v>
      </c>
      <c r="D91">
        <f>'modify this'!E91</f>
        <v>388</v>
      </c>
      <c r="E91">
        <f>'modify this'!F91</f>
        <v>28</v>
      </c>
      <c r="F91">
        <f>'modify this'!G91</f>
        <v>60</v>
      </c>
      <c r="G91">
        <f>'modify this'!T91</f>
        <v>57036</v>
      </c>
      <c r="J91" t="str">
        <f t="shared" ca="1" si="2"/>
        <v xml:space="preserve">607,  388, 28, 60, 57036, </v>
      </c>
      <c r="K91" t="str">
        <f t="shared" si="3"/>
        <v>// 88 AC</v>
      </c>
    </row>
    <row r="92" spans="1:11" x14ac:dyDescent="0.3">
      <c r="A92">
        <f>'modify this'!A92</f>
        <v>89</v>
      </c>
      <c r="B92" t="str">
        <f>'modify this'!B92</f>
        <v>K</v>
      </c>
      <c r="C92">
        <f ca="1">'modify this'!C92</f>
        <v>608</v>
      </c>
      <c r="D92">
        <f>'modify this'!E92</f>
        <v>448</v>
      </c>
      <c r="E92">
        <f>'modify this'!F92</f>
        <v>26</v>
      </c>
      <c r="F92">
        <f>'modify this'!G92</f>
        <v>30</v>
      </c>
      <c r="G92">
        <f>'modify this'!T92</f>
        <v>58716</v>
      </c>
      <c r="J92" t="str">
        <f t="shared" ca="1" si="2"/>
        <v xml:space="preserve">608,  448, 26, 30, 58716, </v>
      </c>
      <c r="K92" t="str">
        <f t="shared" si="3"/>
        <v>// 89 K</v>
      </c>
    </row>
    <row r="93" spans="1:11" x14ac:dyDescent="0.3">
      <c r="A93">
        <f>'modify this'!A93</f>
        <v>90</v>
      </c>
      <c r="B93" t="str">
        <f>'modify this'!B93</f>
        <v>O</v>
      </c>
      <c r="C93">
        <f ca="1">'modify this'!C93</f>
        <v>164</v>
      </c>
      <c r="D93">
        <f>'modify this'!E93</f>
        <v>115</v>
      </c>
      <c r="E93">
        <f>'modify this'!F93</f>
        <v>56</v>
      </c>
      <c r="F93">
        <f>'modify this'!G93</f>
        <v>60</v>
      </c>
      <c r="G93">
        <f>'modify this'!T93</f>
        <v>59496</v>
      </c>
      <c r="J93" t="str">
        <f t="shared" ca="1" si="2"/>
        <v xml:space="preserve">164,  115, 56, 60, 59496, </v>
      </c>
      <c r="K93" t="str">
        <f t="shared" si="3"/>
        <v>// 90 O</v>
      </c>
    </row>
    <row r="94" spans="1:11" x14ac:dyDescent="0.3">
      <c r="A94">
        <f>'modify this'!A94</f>
        <v>91</v>
      </c>
      <c r="B94" t="str">
        <f>'modify this'!B94</f>
        <v>B</v>
      </c>
      <c r="C94">
        <f ca="1">'modify this'!C94</f>
        <v>224</v>
      </c>
      <c r="D94">
        <f>'modify this'!E94</f>
        <v>115</v>
      </c>
      <c r="E94">
        <f>'modify this'!F94</f>
        <v>52</v>
      </c>
      <c r="F94">
        <f>'modify this'!G94</f>
        <v>60</v>
      </c>
      <c r="G94">
        <f>'modify this'!T94</f>
        <v>62856</v>
      </c>
      <c r="J94" t="str">
        <f t="shared" ca="1" si="2"/>
        <v xml:space="preserve">224,  115, 52, 60, 62856, </v>
      </c>
      <c r="K94" t="str">
        <f t="shared" si="3"/>
        <v>// 91 B</v>
      </c>
    </row>
    <row r="95" spans="1:11" x14ac:dyDescent="0.3">
      <c r="A95">
        <f>'modify this'!A95</f>
        <v>92</v>
      </c>
      <c r="B95" t="str">
        <f>'modify this'!B95</f>
        <v>J</v>
      </c>
      <c r="C95">
        <f ca="1">'modify this'!C95</f>
        <v>280</v>
      </c>
      <c r="D95">
        <f>'modify this'!E95</f>
        <v>115</v>
      </c>
      <c r="E95">
        <f>'modify this'!F95</f>
        <v>52</v>
      </c>
      <c r="F95">
        <f>'modify this'!G95</f>
        <v>60</v>
      </c>
      <c r="G95">
        <f>'modify this'!T95</f>
        <v>65976</v>
      </c>
      <c r="J95" t="str">
        <f t="shared" ca="1" si="2"/>
        <v xml:space="preserve">280,  115, 52, 60, 65976, </v>
      </c>
      <c r="K95" t="str">
        <f t="shared" si="3"/>
        <v>// 92 J</v>
      </c>
    </row>
    <row r="96" spans="1:11" x14ac:dyDescent="0.3">
      <c r="A96">
        <f>'modify this'!A96</f>
        <v>93</v>
      </c>
      <c r="B96" t="str">
        <f>'modify this'!B96</f>
        <v>E</v>
      </c>
      <c r="C96">
        <f ca="1">'modify this'!C96</f>
        <v>336</v>
      </c>
      <c r="D96">
        <f>'modify this'!E96</f>
        <v>115</v>
      </c>
      <c r="E96">
        <f>'modify this'!F96</f>
        <v>48</v>
      </c>
      <c r="F96">
        <f>'modify this'!G96</f>
        <v>60</v>
      </c>
      <c r="G96">
        <f>'modify this'!T96</f>
        <v>69096</v>
      </c>
      <c r="J96" t="str">
        <f t="shared" ca="1" si="2"/>
        <v xml:space="preserve">336,  115, 48, 60, 69096, </v>
      </c>
      <c r="K96" t="str">
        <f t="shared" si="3"/>
        <v>// 93 E</v>
      </c>
    </row>
    <row r="97" spans="1:11" x14ac:dyDescent="0.3">
      <c r="A97">
        <f>'modify this'!A97</f>
        <v>94</v>
      </c>
      <c r="B97" t="str">
        <f>'modify this'!B97</f>
        <v>C</v>
      </c>
      <c r="C97">
        <f ca="1">'modify this'!C97</f>
        <v>388</v>
      </c>
      <c r="D97">
        <f>'modify this'!E97</f>
        <v>115</v>
      </c>
      <c r="E97">
        <f>'modify this'!F97</f>
        <v>56</v>
      </c>
      <c r="F97">
        <f>'modify this'!G97</f>
        <v>60</v>
      </c>
      <c r="G97">
        <f>'modify this'!T97</f>
        <v>71976</v>
      </c>
      <c r="J97" t="str">
        <f t="shared" ca="1" si="2"/>
        <v xml:space="preserve">388,  115, 56, 60, 71976, </v>
      </c>
      <c r="K97" t="str">
        <f t="shared" si="3"/>
        <v>// 94 C</v>
      </c>
    </row>
    <row r="98" spans="1:11" x14ac:dyDescent="0.3">
      <c r="A98">
        <f>'modify this'!A98</f>
        <v>95</v>
      </c>
      <c r="B98" t="str">
        <f>'modify this'!B98</f>
        <v>T</v>
      </c>
      <c r="C98">
        <f ca="1">'modify this'!C98</f>
        <v>448</v>
      </c>
      <c r="D98">
        <f>'modify this'!E98</f>
        <v>115</v>
      </c>
      <c r="E98">
        <f>'modify this'!F98</f>
        <v>48</v>
      </c>
      <c r="F98">
        <f>'modify this'!G98</f>
        <v>60</v>
      </c>
      <c r="G98">
        <f>'modify this'!T98</f>
        <v>75336</v>
      </c>
      <c r="J98" t="str">
        <f t="shared" ca="1" si="2"/>
        <v xml:space="preserve">448,  115, 48, 60, 75336, </v>
      </c>
      <c r="K98" t="str">
        <f t="shared" si="3"/>
        <v>// 95 T</v>
      </c>
    </row>
    <row r="99" spans="1:11" x14ac:dyDescent="0.3">
      <c r="A99">
        <f>'modify this'!A99</f>
        <v>96</v>
      </c>
      <c r="B99" t="str">
        <f>'modify this'!B99</f>
        <v>T</v>
      </c>
      <c r="C99">
        <f ca="1">'modify this'!C99</f>
        <v>136</v>
      </c>
      <c r="D99">
        <f>'modify this'!E99</f>
        <v>187</v>
      </c>
      <c r="E99">
        <f>'modify this'!F99</f>
        <v>48</v>
      </c>
      <c r="F99">
        <f>'modify this'!G99</f>
        <v>60</v>
      </c>
      <c r="G99">
        <f>'modify this'!T99</f>
        <v>75336</v>
      </c>
      <c r="J99" t="str">
        <f t="shared" ca="1" si="2"/>
        <v xml:space="preserve">136,  187, 48, 60, 75336, </v>
      </c>
      <c r="K99" t="str">
        <f t="shared" si="3"/>
        <v>// 96 T</v>
      </c>
    </row>
    <row r="100" spans="1:11" x14ac:dyDescent="0.3">
      <c r="A100">
        <f>'modify this'!A100</f>
        <v>97</v>
      </c>
      <c r="B100" t="str">
        <f>'modify this'!B100</f>
        <v>R</v>
      </c>
      <c r="C100">
        <f ca="1">'modify this'!C100</f>
        <v>188</v>
      </c>
      <c r="D100">
        <f>'modify this'!E100</f>
        <v>187</v>
      </c>
      <c r="E100">
        <f>'modify this'!F100</f>
        <v>52</v>
      </c>
      <c r="F100">
        <f>'modify this'!G100</f>
        <v>60</v>
      </c>
      <c r="G100">
        <f>'modify this'!T100</f>
        <v>78216</v>
      </c>
      <c r="J100" t="str">
        <f t="shared" ca="1" si="2"/>
        <v xml:space="preserve">188,  187, 52, 60, 78216, </v>
      </c>
      <c r="K100" t="str">
        <f t="shared" si="3"/>
        <v>// 97 R</v>
      </c>
    </row>
    <row r="101" spans="1:11" x14ac:dyDescent="0.3">
      <c r="A101">
        <f>'modify this'!A101</f>
        <v>98</v>
      </c>
      <c r="B101" t="str">
        <f>'modify this'!B101</f>
        <v>A</v>
      </c>
      <c r="C101">
        <f ca="1">'modify this'!C101</f>
        <v>244</v>
      </c>
      <c r="D101">
        <f>'modify this'!E101</f>
        <v>187</v>
      </c>
      <c r="E101">
        <f>'modify this'!F101</f>
        <v>56</v>
      </c>
      <c r="F101">
        <f>'modify this'!G101</f>
        <v>60</v>
      </c>
      <c r="G101">
        <f>'modify this'!T101</f>
        <v>81336</v>
      </c>
      <c r="J101" t="str">
        <f t="shared" ca="1" si="2"/>
        <v xml:space="preserve">244,  187, 56, 60, 81336, </v>
      </c>
      <c r="K101" t="str">
        <f t="shared" si="3"/>
        <v>// 98 A</v>
      </c>
    </row>
    <row r="102" spans="1:11" x14ac:dyDescent="0.3">
      <c r="A102">
        <f>'modify this'!A102</f>
        <v>99</v>
      </c>
      <c r="B102" t="str">
        <f>'modify this'!B102</f>
        <v>C</v>
      </c>
      <c r="C102">
        <f ca="1">'modify this'!C102</f>
        <v>304</v>
      </c>
      <c r="D102">
        <f>'modify this'!E102</f>
        <v>187</v>
      </c>
      <c r="E102">
        <f>'modify this'!F102</f>
        <v>56</v>
      </c>
      <c r="F102">
        <f>'modify this'!G102</f>
        <v>60</v>
      </c>
      <c r="G102">
        <f>'modify this'!T102</f>
        <v>69096</v>
      </c>
      <c r="J102" t="str">
        <f t="shared" ca="1" si="2"/>
        <v xml:space="preserve">304,  187, 56, 60, 69096, </v>
      </c>
      <c r="K102" t="str">
        <f t="shared" si="3"/>
        <v>// 99 C</v>
      </c>
    </row>
    <row r="103" spans="1:11" x14ac:dyDescent="0.3">
      <c r="A103">
        <f>'modify this'!A103</f>
        <v>100</v>
      </c>
      <c r="B103" t="str">
        <f>'modify this'!B103</f>
        <v>K</v>
      </c>
      <c r="C103">
        <f ca="1">'modify this'!C103</f>
        <v>364</v>
      </c>
      <c r="D103">
        <f>'modify this'!E103</f>
        <v>187</v>
      </c>
      <c r="E103">
        <f>'modify this'!F103</f>
        <v>52</v>
      </c>
      <c r="F103">
        <f>'modify this'!G103</f>
        <v>60</v>
      </c>
      <c r="G103">
        <f>'modify this'!T103</f>
        <v>84696</v>
      </c>
      <c r="J103" t="str">
        <f t="shared" ca="1" si="2"/>
        <v xml:space="preserve">364,  187, 52, 60, 84696, </v>
      </c>
      <c r="K103" t="str">
        <f t="shared" si="3"/>
        <v>// 100 K</v>
      </c>
    </row>
    <row r="104" spans="1:11" x14ac:dyDescent="0.3">
      <c r="A104">
        <f>'modify this'!A104</f>
        <v>101</v>
      </c>
      <c r="B104" t="str">
        <f>'modify this'!B104</f>
        <v>E</v>
      </c>
      <c r="C104">
        <f ca="1">'modify this'!C104</f>
        <v>420</v>
      </c>
      <c r="D104">
        <f>'modify this'!E104</f>
        <v>187</v>
      </c>
      <c r="E104">
        <f>'modify this'!F104</f>
        <v>48</v>
      </c>
      <c r="F104">
        <f>'modify this'!G104</f>
        <v>60</v>
      </c>
      <c r="G104">
        <f>'modify this'!T104</f>
        <v>69096</v>
      </c>
      <c r="J104" t="str">
        <f t="shared" ca="1" si="2"/>
        <v xml:space="preserve">420,  187, 48, 60, 69096, </v>
      </c>
      <c r="K104" t="str">
        <f t="shared" si="3"/>
        <v>// 101 E</v>
      </c>
    </row>
    <row r="105" spans="1:11" x14ac:dyDescent="0.3">
      <c r="A105">
        <f>'modify this'!A105</f>
        <v>102</v>
      </c>
      <c r="B105" t="str">
        <f>'modify this'!B105</f>
        <v>R</v>
      </c>
      <c r="C105">
        <f ca="1">'modify this'!C105</f>
        <v>472</v>
      </c>
      <c r="D105">
        <f>'modify this'!E105</f>
        <v>187</v>
      </c>
      <c r="E105">
        <f>'modify this'!F105</f>
        <v>52</v>
      </c>
      <c r="F105">
        <f>'modify this'!G105</f>
        <v>60</v>
      </c>
      <c r="G105">
        <f>'modify this'!T105</f>
        <v>78216</v>
      </c>
      <c r="J105" t="str">
        <f t="shared" ca="1" si="2"/>
        <v xml:space="preserve">472,  187, 52, 60, 78216, </v>
      </c>
      <c r="K105" t="str">
        <f t="shared" si="3"/>
        <v>// 102 R</v>
      </c>
    </row>
    <row r="106" spans="1:11" x14ac:dyDescent="0.3">
      <c r="A106">
        <f>'modify this'!A106</f>
        <v>103</v>
      </c>
      <c r="B106" t="str">
        <f>'modify this'!B106</f>
        <v>Insert</v>
      </c>
      <c r="C106">
        <f ca="1">'modify this'!C106</f>
        <v>181</v>
      </c>
      <c r="D106">
        <f>'modify this'!E106</f>
        <v>270</v>
      </c>
      <c r="E106">
        <f>'modify this'!F106</f>
        <v>159</v>
      </c>
      <c r="F106">
        <f>'modify this'!G106</f>
        <v>26</v>
      </c>
      <c r="G106">
        <f>'modify this'!T106</f>
        <v>87816</v>
      </c>
      <c r="J106" t="str">
        <f t="shared" ca="1" si="2"/>
        <v xml:space="preserve">181,  270, 159, 26, 87816, </v>
      </c>
      <c r="K106" t="str">
        <f t="shared" si="3"/>
        <v>// 103 Insert</v>
      </c>
    </row>
    <row r="107" spans="1:11" x14ac:dyDescent="0.3">
      <c r="A107">
        <f>'modify this'!A107</f>
        <v>104</v>
      </c>
      <c r="B107" t="str">
        <f>'modify this'!B107</f>
        <v>Coin</v>
      </c>
      <c r="C107">
        <f ca="1">'modify this'!C107</f>
        <v>363</v>
      </c>
      <c r="D107">
        <f>'modify this'!E107</f>
        <v>270</v>
      </c>
      <c r="E107">
        <f>'modify this'!F107</f>
        <v>104</v>
      </c>
      <c r="F107">
        <f>'modify this'!G107</f>
        <v>26</v>
      </c>
      <c r="G107">
        <f>'modify this'!T107</f>
        <v>91950</v>
      </c>
      <c r="J107" t="str">
        <f t="shared" ca="1" si="2"/>
        <v xml:space="preserve">363,  270, 104, 26, 91950, </v>
      </c>
      <c r="K107" t="str">
        <f t="shared" si="3"/>
        <v>// 104 Coin</v>
      </c>
    </row>
    <row r="108" spans="1:11" x14ac:dyDescent="0.3">
      <c r="A108">
        <f>'modify this'!A108</f>
        <v>105</v>
      </c>
      <c r="B108" t="str">
        <f>'modify this'!B108</f>
        <v>FR tab pic 1 (FR)</v>
      </c>
      <c r="C108">
        <f ca="1">'modify this'!C108</f>
        <v>3</v>
      </c>
      <c r="D108">
        <f>'modify this'!E108</f>
        <v>31</v>
      </c>
      <c r="E108">
        <f>'modify this'!F108</f>
        <v>88</v>
      </c>
      <c r="F108">
        <f>'modify this'!G108</f>
        <v>44</v>
      </c>
      <c r="G108">
        <f>'modify this'!T108</f>
        <v>34415</v>
      </c>
      <c r="J108" t="str">
        <f t="shared" ca="1" si="2"/>
        <v xml:space="preserve">3,  31, 88, 44, 34415, </v>
      </c>
      <c r="K108" t="str">
        <f t="shared" si="3"/>
        <v>// 105 FR tab pic 1 (FR)</v>
      </c>
    </row>
    <row r="109" spans="1:11" x14ac:dyDescent="0.3">
      <c r="A109">
        <f>'modify this'!A109</f>
        <v>106</v>
      </c>
      <c r="B109" t="str">
        <f>'modify this'!B109</f>
        <v>FR tab pic 2</v>
      </c>
      <c r="C109">
        <f ca="1">'modify this'!C109</f>
        <v>18</v>
      </c>
      <c r="D109">
        <f>'modify this'!E109</f>
        <v>80</v>
      </c>
      <c r="E109">
        <f>'modify this'!F109</f>
        <v>55</v>
      </c>
      <c r="F109">
        <f>'modify this'!G109</f>
        <v>46</v>
      </c>
      <c r="G109">
        <f>'modify this'!T109</f>
        <v>94654</v>
      </c>
      <c r="J109" t="str">
        <f t="shared" ca="1" si="2"/>
        <v xml:space="preserve">18,  80, 55, 46, 94654, </v>
      </c>
      <c r="K109" t="str">
        <f t="shared" si="3"/>
        <v>// 106 FR tab pic 2</v>
      </c>
    </row>
    <row r="110" spans="1:11" x14ac:dyDescent="0.3">
      <c r="A110">
        <f>'modify this'!A110</f>
        <v>107</v>
      </c>
      <c r="B110" t="str">
        <f>'modify this'!B110</f>
        <v>FR tab header</v>
      </c>
      <c r="C110">
        <f ca="1">'modify this'!C110</f>
        <v>130</v>
      </c>
      <c r="D110">
        <f>'modify this'!E110</f>
        <v>9</v>
      </c>
      <c r="E110">
        <f>'modify this'!F110</f>
        <v>83</v>
      </c>
      <c r="F110">
        <f>'modify this'!G110</f>
        <v>12</v>
      </c>
      <c r="G110">
        <f>'modify this'!T110</f>
        <v>32593</v>
      </c>
      <c r="J110" t="str">
        <f t="shared" ca="1" si="2"/>
        <v xml:space="preserve">130,  9, 83, 12, 32593, </v>
      </c>
      <c r="K110" t="str">
        <f t="shared" si="3"/>
        <v>// 107 FR tab header</v>
      </c>
    </row>
    <row r="111" spans="1:11" x14ac:dyDescent="0.3">
      <c r="A111">
        <f>'modify this'!A111</f>
        <v>108</v>
      </c>
      <c r="B111" t="str">
        <f>'modify this'!B111</f>
        <v>Union pic 1</v>
      </c>
      <c r="C111">
        <f ca="1">'modify this'!C111</f>
        <v>18</v>
      </c>
      <c r="D111">
        <f>'modify this'!E111</f>
        <v>32</v>
      </c>
      <c r="E111">
        <f>'modify this'!F111</f>
        <v>55</v>
      </c>
      <c r="F111">
        <f>'modify this'!G111</f>
        <v>46</v>
      </c>
      <c r="G111">
        <f>'modify this'!T111</f>
        <v>97184</v>
      </c>
      <c r="J111" t="str">
        <f t="shared" ca="1" si="2"/>
        <v xml:space="preserve">18,  32, 55, 46, 97184, </v>
      </c>
      <c r="K111" t="str">
        <f t="shared" si="3"/>
        <v>// 108 Union pic 1</v>
      </c>
    </row>
    <row r="112" spans="1:11" x14ac:dyDescent="0.3">
      <c r="A112">
        <f>'modify this'!A112</f>
        <v>109</v>
      </c>
      <c r="B112" t="str">
        <f>'modify this'!B112</f>
        <v>Union pic 2</v>
      </c>
      <c r="C112">
        <f ca="1">'modify this'!C112</f>
        <v>18</v>
      </c>
      <c r="D112">
        <f>'modify this'!E112</f>
        <v>80</v>
      </c>
      <c r="E112">
        <f>'modify this'!F112</f>
        <v>55</v>
      </c>
      <c r="F112">
        <f>'modify this'!G112</f>
        <v>46</v>
      </c>
      <c r="G112">
        <f>'modify this'!T112</f>
        <v>99714</v>
      </c>
      <c r="J112" t="str">
        <f t="shared" ca="1" si="2"/>
        <v xml:space="preserve">18,  80, 55, 46, 99714, </v>
      </c>
      <c r="K112" t="str">
        <f t="shared" si="3"/>
        <v>// 109 Union pic 2</v>
      </c>
    </row>
    <row r="113" spans="1:11" x14ac:dyDescent="0.3">
      <c r="A113">
        <f>'modify this'!A113</f>
        <v>110</v>
      </c>
      <c r="B113" t="str">
        <f>'modify this'!B113</f>
        <v>Union tab header</v>
      </c>
      <c r="C113">
        <f ca="1">'modify this'!C113</f>
        <v>144</v>
      </c>
      <c r="D113">
        <f>'modify this'!E113</f>
        <v>9</v>
      </c>
      <c r="E113">
        <f>'modify this'!F113</f>
        <v>44</v>
      </c>
      <c r="F113">
        <f>'modify this'!G113</f>
        <v>12</v>
      </c>
      <c r="G113">
        <f>'modify this'!T113</f>
        <v>38327</v>
      </c>
      <c r="J113" t="str">
        <f t="shared" ca="1" si="2"/>
        <v xml:space="preserve">144,  9, 44, 12, 38327, </v>
      </c>
      <c r="K113" t="str">
        <f t="shared" si="3"/>
        <v>// 110 Union tab header</v>
      </c>
    </row>
    <row r="114" spans="1:11" x14ac:dyDescent="0.3">
      <c r="A114">
        <f>'modify this'!A114</f>
        <v>111</v>
      </c>
      <c r="B114" t="str">
        <f>'modify this'!B114</f>
        <v>Update pic 1</v>
      </c>
      <c r="C114">
        <f ca="1">'modify this'!C114</f>
        <v>17</v>
      </c>
      <c r="D114">
        <f>'modify this'!E114</f>
        <v>31</v>
      </c>
      <c r="E114">
        <f>'modify this'!F114</f>
        <v>55</v>
      </c>
      <c r="F114">
        <f>'modify this'!G114</f>
        <v>46</v>
      </c>
      <c r="G114">
        <f>'modify this'!T114</f>
        <v>102244</v>
      </c>
      <c r="J114" t="str">
        <f t="shared" ca="1" si="2"/>
        <v xml:space="preserve">17,  31, 55, 46, 102244, </v>
      </c>
      <c r="K114" t="str">
        <f t="shared" si="3"/>
        <v>// 111 Update pic 1</v>
      </c>
    </row>
    <row r="115" spans="1:11" x14ac:dyDescent="0.3">
      <c r="A115">
        <f>'modify this'!A115</f>
        <v>112</v>
      </c>
      <c r="B115" t="str">
        <f>'modify this'!B115</f>
        <v>Update pic 2</v>
      </c>
      <c r="C115">
        <f ca="1">'modify this'!C115</f>
        <v>17</v>
      </c>
      <c r="D115">
        <f>'modify this'!E115</f>
        <v>80</v>
      </c>
      <c r="E115">
        <f>'modify this'!F115</f>
        <v>55</v>
      </c>
      <c r="F115">
        <f>'modify this'!G115</f>
        <v>46</v>
      </c>
      <c r="G115">
        <f>'modify this'!T115</f>
        <v>104774</v>
      </c>
      <c r="J115" t="str">
        <f t="shared" ca="1" si="2"/>
        <v xml:space="preserve">17,  80, 55, 46, 104774, </v>
      </c>
      <c r="K115" t="str">
        <f t="shared" si="3"/>
        <v>// 112 Update pic 2</v>
      </c>
    </row>
    <row r="116" spans="1:11" x14ac:dyDescent="0.3">
      <c r="A116">
        <f>'modify this'!A116</f>
        <v>113</v>
      </c>
      <c r="B116" t="str">
        <f>'modify this'!B116</f>
        <v>Update tab header</v>
      </c>
      <c r="C116">
        <f ca="1">'modify this'!C116</f>
        <v>116</v>
      </c>
      <c r="D116">
        <f>'modify this'!E116</f>
        <v>9</v>
      </c>
      <c r="E116">
        <f>'modify this'!F116</f>
        <v>55</v>
      </c>
      <c r="F116">
        <f>'modify this'!G116</f>
        <v>17</v>
      </c>
      <c r="G116">
        <f>'modify this'!T116</f>
        <v>43017</v>
      </c>
      <c r="J116" t="str">
        <f t="shared" ca="1" si="2"/>
        <v xml:space="preserve">116,  9, 55, 17, 43017, </v>
      </c>
      <c r="K116" t="str">
        <f t="shared" si="3"/>
        <v>// 113 Update tab header</v>
      </c>
    </row>
    <row r="117" spans="1:11" x14ac:dyDescent="0.3">
      <c r="A117">
        <f>'modify this'!A117</f>
        <v>114</v>
      </c>
      <c r="B117" t="str">
        <f>'modify this'!B117</f>
        <v>stats tab header</v>
      </c>
      <c r="C117">
        <f ca="1">'modify this'!C117</f>
        <v>177</v>
      </c>
      <c r="D117">
        <f>'modify this'!E117</f>
        <v>9</v>
      </c>
      <c r="E117">
        <f>'modify this'!F117</f>
        <v>42</v>
      </c>
      <c r="F117">
        <f>'modify this'!G117</f>
        <v>12</v>
      </c>
      <c r="G117">
        <f>'modify this'!T117</f>
        <v>43952</v>
      </c>
      <c r="J117" t="str">
        <f t="shared" ca="1" si="2"/>
        <v xml:space="preserve">177,  9, 42, 12, 43952, </v>
      </c>
      <c r="K117" t="str">
        <f t="shared" si="3"/>
        <v>// 114 stats tab header</v>
      </c>
    </row>
    <row r="118" spans="1:11" x14ac:dyDescent="0.3">
      <c r="A118">
        <f>'modify this'!A118</f>
        <v>115</v>
      </c>
      <c r="B118" t="str">
        <f>'modify this'!B118</f>
        <v>filter pic 1</v>
      </c>
      <c r="C118">
        <f ca="1">'modify this'!C118</f>
        <v>18</v>
      </c>
      <c r="D118">
        <f>'modify this'!E118</f>
        <v>31</v>
      </c>
      <c r="E118">
        <f>'modify this'!F118</f>
        <v>57</v>
      </c>
      <c r="F118">
        <f>'modify this'!G118</f>
        <v>45</v>
      </c>
      <c r="G118">
        <f>'modify this'!T118</f>
        <v>107304</v>
      </c>
      <c r="J118" t="str">
        <f t="shared" ca="1" si="2"/>
        <v xml:space="preserve">18,  31, 57, 45, 107304, </v>
      </c>
      <c r="K118" t="str">
        <f t="shared" si="3"/>
        <v>// 115 filter pic 1</v>
      </c>
    </row>
    <row r="119" spans="1:11" x14ac:dyDescent="0.3">
      <c r="A119">
        <f>'modify this'!A119</f>
        <v>116</v>
      </c>
      <c r="B119" t="str">
        <f>'modify this'!B119</f>
        <v>filter pic 2</v>
      </c>
      <c r="C119">
        <f ca="1">'modify this'!C119</f>
        <v>18</v>
      </c>
      <c r="D119">
        <f>'modify this'!E119</f>
        <v>81</v>
      </c>
      <c r="E119">
        <f>'modify this'!F119</f>
        <v>57</v>
      </c>
      <c r="F119">
        <f>'modify this'!G119</f>
        <v>45</v>
      </c>
      <c r="G119">
        <f>'modify this'!T119</f>
        <v>109869</v>
      </c>
      <c r="J119" t="str">
        <f t="shared" ca="1" si="2"/>
        <v xml:space="preserve">18,  81, 57, 45, 109869, </v>
      </c>
      <c r="K119" t="str">
        <f t="shared" si="3"/>
        <v>// 116 filter pic 2</v>
      </c>
    </row>
    <row r="120" spans="1:11" x14ac:dyDescent="0.3">
      <c r="A120">
        <f>'modify this'!A120</f>
        <v>117</v>
      </c>
      <c r="B120" t="str">
        <f>'modify this'!B120</f>
        <v>filter tab header</v>
      </c>
      <c r="C120">
        <f ca="1">'modify this'!C120</f>
        <v>149</v>
      </c>
      <c r="D120">
        <f>'modify this'!E120</f>
        <v>9</v>
      </c>
      <c r="E120">
        <f>'modify this'!F120</f>
        <v>42</v>
      </c>
      <c r="F120">
        <f>'modify this'!G120</f>
        <v>12</v>
      </c>
      <c r="G120">
        <f>'modify this'!T120</f>
        <v>49790</v>
      </c>
      <c r="J120" t="str">
        <f t="shared" ca="1" si="2"/>
        <v xml:space="preserve">149,  9, 42, 12, 49790, </v>
      </c>
      <c r="K120" t="str">
        <f t="shared" si="3"/>
        <v>// 117 filter tab header</v>
      </c>
    </row>
    <row r="121" spans="1:11" x14ac:dyDescent="0.3">
      <c r="A121">
        <f>'modify this'!A121</f>
        <v>118</v>
      </c>
      <c r="B121" t="str">
        <f>'modify this'!B121</f>
        <v>bb pic 1</v>
      </c>
      <c r="C121">
        <f ca="1">'modify this'!C121</f>
        <v>18</v>
      </c>
      <c r="D121">
        <f>'modify this'!E121</f>
        <v>31</v>
      </c>
      <c r="E121">
        <f>'modify this'!F121</f>
        <v>57</v>
      </c>
      <c r="F121">
        <f>'modify this'!G121</f>
        <v>45</v>
      </c>
      <c r="G121">
        <f>'modify this'!T121</f>
        <v>112434</v>
      </c>
      <c r="J121" t="str">
        <f t="shared" ca="1" si="2"/>
        <v xml:space="preserve">18,  31, 57, 45, 112434, </v>
      </c>
      <c r="K121" t="str">
        <f t="shared" si="3"/>
        <v>// 118 bb pic 1</v>
      </c>
    </row>
    <row r="122" spans="1:11" x14ac:dyDescent="0.3">
      <c r="A122">
        <f>'modify this'!A122</f>
        <v>119</v>
      </c>
      <c r="B122" t="str">
        <f>'modify this'!B122</f>
        <v>bb pic 2</v>
      </c>
      <c r="C122">
        <f ca="1">'modify this'!C122</f>
        <v>18</v>
      </c>
      <c r="D122">
        <f>'modify this'!E122</f>
        <v>80</v>
      </c>
      <c r="E122">
        <f>'modify this'!F122</f>
        <v>57</v>
      </c>
      <c r="F122">
        <f>'modify this'!G122</f>
        <v>45</v>
      </c>
      <c r="G122">
        <f>'modify this'!T122</f>
        <v>114999</v>
      </c>
      <c r="J122" t="str">
        <f t="shared" ca="1" si="2"/>
        <v xml:space="preserve">18,  80, 57, 45, 114999, </v>
      </c>
      <c r="K122" t="str">
        <f t="shared" si="3"/>
        <v>// 119 bb pic 2</v>
      </c>
    </row>
    <row r="123" spans="1:11" x14ac:dyDescent="0.3">
      <c r="A123">
        <f>'modify this'!A123</f>
        <v>120</v>
      </c>
      <c r="B123" t="str">
        <f>'modify this'!B123</f>
        <v>bounding tab header</v>
      </c>
      <c r="C123">
        <f ca="1">'modify this'!C123</f>
        <v>114</v>
      </c>
      <c r="D123">
        <f>'modify this'!E123</f>
        <v>7</v>
      </c>
      <c r="E123">
        <f>'modify this'!F123</f>
        <v>74</v>
      </c>
      <c r="F123">
        <f>'modify this'!G123</f>
        <v>18</v>
      </c>
      <c r="G123">
        <f>'modify this'!T123</f>
        <v>51242</v>
      </c>
      <c r="J123" t="str">
        <f t="shared" ca="1" si="2"/>
        <v xml:space="preserve">114,  7, 74, 18, 51242, </v>
      </c>
      <c r="K123" t="str">
        <f t="shared" si="3"/>
        <v>// 120 bounding tab header</v>
      </c>
    </row>
    <row r="124" spans="1:11" x14ac:dyDescent="0.3">
      <c r="A124">
        <f>'modify this'!A124</f>
        <v>121</v>
      </c>
      <c r="B124" t="str">
        <f>'modify this'!B124</f>
        <v>box tab header</v>
      </c>
      <c r="C124">
        <f ca="1">'modify this'!C124</f>
        <v>191</v>
      </c>
      <c r="D124">
        <f>'modify this'!E124</f>
        <v>7</v>
      </c>
      <c r="E124">
        <f>'modify this'!F124</f>
        <v>30</v>
      </c>
      <c r="F124">
        <f>'modify this'!G124</f>
        <v>12</v>
      </c>
      <c r="G124">
        <f>'modify this'!T124</f>
        <v>52574</v>
      </c>
      <c r="J124" t="str">
        <f t="shared" ca="1" si="2"/>
        <v xml:space="preserve">191,  7, 30, 12, 52574, </v>
      </c>
      <c r="K124" t="str">
        <f t="shared" si="3"/>
        <v>// 121 box tab header</v>
      </c>
    </row>
    <row r="125" spans="1:11" x14ac:dyDescent="0.3">
      <c r="A125">
        <f>'modify this'!A125</f>
        <v>122</v>
      </c>
      <c r="B125" t="str">
        <f>'modify this'!B125</f>
        <v>gaussian</v>
      </c>
      <c r="C125">
        <f ca="1">'modify this'!C125</f>
        <v>475</v>
      </c>
      <c r="D125">
        <f>'modify this'!E125</f>
        <v>204</v>
      </c>
      <c r="E125">
        <f>'modify this'!F125</f>
        <v>68</v>
      </c>
      <c r="F125">
        <f>'modify this'!G125</f>
        <v>26</v>
      </c>
      <c r="G125">
        <f>'modify this'!T125</f>
        <v>117564</v>
      </c>
      <c r="J125" t="str">
        <f t="shared" ca="1" si="2"/>
        <v xml:space="preserve">475,  204, 68, 26, 117564, </v>
      </c>
      <c r="K125" t="str">
        <f t="shared" si="3"/>
        <v>// 122 gaussian</v>
      </c>
    </row>
    <row r="126" spans="1:11" x14ac:dyDescent="0.3">
      <c r="A126">
        <f>'modify this'!A126</f>
        <v>123</v>
      </c>
      <c r="B126" t="str">
        <f>'modify this'!B126</f>
        <v>median</v>
      </c>
      <c r="C126">
        <f ca="1">'modify this'!C126</f>
        <v>402</v>
      </c>
      <c r="D126">
        <f>'modify this'!E126</f>
        <v>357</v>
      </c>
      <c r="E126">
        <f>'modify this'!F126</f>
        <v>56</v>
      </c>
      <c r="F126">
        <f>'modify this'!G126</f>
        <v>26</v>
      </c>
      <c r="G126">
        <f>'modify this'!T126</f>
        <v>119332</v>
      </c>
      <c r="J126" t="str">
        <f t="shared" ca="1" si="2"/>
        <v xml:space="preserve">402,  357, 56, 26, 119332, </v>
      </c>
      <c r="K126" t="str">
        <f t="shared" si="3"/>
        <v>// 123 median</v>
      </c>
    </row>
    <row r="127" spans="1:11" x14ac:dyDescent="0.3">
      <c r="A127">
        <f>'modify this'!A127</f>
        <v>124</v>
      </c>
      <c r="B127" t="str">
        <f>'modify this'!B127</f>
        <v>erode 1</v>
      </c>
      <c r="C127">
        <f ca="1">'modify this'!C127</f>
        <v>468</v>
      </c>
      <c r="D127">
        <f>'modify this'!E127</f>
        <v>352</v>
      </c>
      <c r="E127">
        <f>'modify this'!F127</f>
        <v>40</v>
      </c>
      <c r="F127">
        <f>'modify this'!G127</f>
        <v>34</v>
      </c>
      <c r="G127">
        <f>'modify this'!T127</f>
        <v>120788</v>
      </c>
      <c r="J127" t="str">
        <f t="shared" ca="1" si="2"/>
        <v xml:space="preserve">468,  352, 40, 34, 120788, </v>
      </c>
      <c r="K127" t="str">
        <f t="shared" si="3"/>
        <v>// 124 erode 1</v>
      </c>
    </row>
    <row r="128" spans="1:11" x14ac:dyDescent="0.3">
      <c r="A128">
        <f>'modify this'!A128</f>
        <v>125</v>
      </c>
      <c r="B128" t="str">
        <f>'modify this'!B128</f>
        <v>erode 2</v>
      </c>
      <c r="C128">
        <f ca="1">'modify this'!C128</f>
        <v>510</v>
      </c>
      <c r="D128">
        <f>'modify this'!E128</f>
        <v>352</v>
      </c>
      <c r="E128">
        <f>'modify this'!F128</f>
        <v>40</v>
      </c>
      <c r="F128">
        <f>'modify this'!G128</f>
        <v>34</v>
      </c>
      <c r="G128">
        <f>'modify this'!T128</f>
        <v>120788</v>
      </c>
      <c r="J128" t="str">
        <f t="shared" ca="1" si="2"/>
        <v xml:space="preserve">510,  352, 40, 34, 120788, </v>
      </c>
      <c r="K128" t="str">
        <f t="shared" si="3"/>
        <v>// 125 erode 2</v>
      </c>
    </row>
    <row r="129" spans="1:11" x14ac:dyDescent="0.3">
      <c r="A129">
        <f>'modify this'!A129</f>
        <v>126</v>
      </c>
      <c r="B129" t="str">
        <f>'modify this'!B129</f>
        <v>dilate 1</v>
      </c>
      <c r="C129">
        <f ca="1">'modify this'!C129</f>
        <v>552</v>
      </c>
      <c r="D129">
        <f>'modify this'!E129</f>
        <v>352</v>
      </c>
      <c r="E129">
        <f>'modify this'!F129</f>
        <v>40</v>
      </c>
      <c r="F129">
        <f>'modify this'!G129</f>
        <v>34</v>
      </c>
      <c r="G129">
        <f>'modify this'!T129</f>
        <v>122148</v>
      </c>
      <c r="J129" t="str">
        <f t="shared" ca="1" si="2"/>
        <v xml:space="preserve">552,  352, 40, 34, 122148, </v>
      </c>
      <c r="K129" t="str">
        <f t="shared" si="3"/>
        <v>// 126 dilate 1</v>
      </c>
    </row>
    <row r="130" spans="1:11" x14ac:dyDescent="0.3">
      <c r="A130">
        <f>'modify this'!A130</f>
        <v>127</v>
      </c>
      <c r="B130" t="str">
        <f>'modify this'!B130</f>
        <v>dilate 2</v>
      </c>
      <c r="C130">
        <f ca="1">'modify this'!C130</f>
        <v>595</v>
      </c>
      <c r="D130">
        <f>'modify this'!E130</f>
        <v>352</v>
      </c>
      <c r="E130">
        <f>'modify this'!F130</f>
        <v>40</v>
      </c>
      <c r="F130">
        <f>'modify this'!G130</f>
        <v>34</v>
      </c>
      <c r="G130">
        <f>'modify this'!T130</f>
        <v>122148</v>
      </c>
      <c r="J130" t="str">
        <f t="shared" ca="1" si="2"/>
        <v xml:space="preserve">595,  352, 40, 34, 122148, </v>
      </c>
      <c r="K130" t="str">
        <f t="shared" si="3"/>
        <v>// 127 dilate 2</v>
      </c>
    </row>
    <row r="131" spans="1:11" x14ac:dyDescent="0.3">
      <c r="A131">
        <f>'modify this'!A131</f>
        <v>128</v>
      </c>
      <c r="B131" t="str">
        <f>'modify this'!B131</f>
        <v>?? Anything new</v>
      </c>
      <c r="C131" t="e">
        <f ca="1">'modify this'!C131</f>
        <v>#REF!</v>
      </c>
      <c r="D131">
        <f>'modify this'!E131</f>
        <v>0</v>
      </c>
      <c r="E131">
        <f>'modify this'!F131</f>
        <v>0</v>
      </c>
      <c r="F131">
        <f>'modify this'!G131</f>
        <v>0</v>
      </c>
      <c r="G131">
        <f>'modify this'!T131</f>
        <v>123508</v>
      </c>
      <c r="J131" t="e">
        <f t="shared" ref="J131:J134" ca="1" si="4">_xlfn.CONCAT(C131, ",  ", D131, ", ", E131, ", ", F131, ", ", G131, ", ")</f>
        <v>#REF!</v>
      </c>
      <c r="K131" t="str">
        <f t="shared" ref="K131:K134" si="5">_xlfn.CONCAT("// ", A131, " ", B131)</f>
        <v>// 128 ?? Anything new</v>
      </c>
    </row>
    <row r="132" spans="1:11" x14ac:dyDescent="0.3">
      <c r="A132">
        <f>'modify this'!A132</f>
        <v>0</v>
      </c>
      <c r="B132">
        <f>'modify this'!B132</f>
        <v>0</v>
      </c>
      <c r="D132">
        <f>'modify this'!E132</f>
        <v>0</v>
      </c>
      <c r="E132">
        <f>'modify this'!F132</f>
        <v>0</v>
      </c>
      <c r="F132">
        <f>'modify this'!G132</f>
        <v>0</v>
      </c>
      <c r="G132">
        <f>'modify this'!T132</f>
        <v>0</v>
      </c>
      <c r="J132" t="str">
        <f t="shared" si="4"/>
        <v xml:space="preserve">,  0, 0, 0, 0, </v>
      </c>
      <c r="K132" t="str">
        <f t="shared" si="5"/>
        <v>// 0 0</v>
      </c>
    </row>
    <row r="133" spans="1:11" x14ac:dyDescent="0.3">
      <c r="A133">
        <f>'modify this'!A133</f>
        <v>0</v>
      </c>
      <c r="B133">
        <f>'modify this'!B133</f>
        <v>0</v>
      </c>
      <c r="D133">
        <f>'modify this'!E133</f>
        <v>0</v>
      </c>
      <c r="E133">
        <f>'modify this'!F133</f>
        <v>0</v>
      </c>
      <c r="F133">
        <f>'modify this'!G133</f>
        <v>0</v>
      </c>
      <c r="G133">
        <f>'modify this'!T133</f>
        <v>0</v>
      </c>
      <c r="J133" t="str">
        <f t="shared" si="4"/>
        <v xml:space="preserve">,  0, 0, 0, 0, </v>
      </c>
      <c r="K133" t="str">
        <f t="shared" si="5"/>
        <v>// 0 0</v>
      </c>
    </row>
    <row r="134" spans="1:11" x14ac:dyDescent="0.3">
      <c r="A134">
        <f>'modify this'!A134</f>
        <v>0</v>
      </c>
      <c r="B134">
        <f>'modify this'!B134</f>
        <v>0</v>
      </c>
      <c r="D134">
        <f>'modify this'!E134</f>
        <v>0</v>
      </c>
      <c r="E134">
        <f>'modify this'!F134</f>
        <v>0</v>
      </c>
      <c r="F134">
        <f>'modify this'!G134</f>
        <v>0</v>
      </c>
      <c r="G134">
        <f>'modify this'!T134</f>
        <v>0</v>
      </c>
      <c r="J134" t="str">
        <f t="shared" si="4"/>
        <v xml:space="preserve">,  0, 0, 0, 0, </v>
      </c>
      <c r="K134" t="str">
        <f t="shared" si="5"/>
        <v>// 0 0</v>
      </c>
    </row>
    <row r="135" spans="1:11" x14ac:dyDescent="0.3">
      <c r="A135">
        <f>'modify this'!A135</f>
        <v>0</v>
      </c>
      <c r="B135">
        <f>'modify this'!B135</f>
        <v>0</v>
      </c>
      <c r="D135">
        <f>'modify this'!E135</f>
        <v>0</v>
      </c>
      <c r="E135">
        <f>'modify this'!F135</f>
        <v>0</v>
      </c>
      <c r="F135">
        <f>'modify this'!G135</f>
        <v>0</v>
      </c>
      <c r="G135">
        <f>'modify this'!T135</f>
        <v>0</v>
      </c>
    </row>
    <row r="136" spans="1:11" x14ac:dyDescent="0.3">
      <c r="A136">
        <f>'modify this'!A136</f>
        <v>0</v>
      </c>
      <c r="B136">
        <f>'modify this'!B136</f>
        <v>0</v>
      </c>
      <c r="D136">
        <f>'modify this'!E136</f>
        <v>0</v>
      </c>
      <c r="E136">
        <f>'modify this'!F136</f>
        <v>0</v>
      </c>
      <c r="F136">
        <f>'modify this'!G136</f>
        <v>0</v>
      </c>
      <c r="G136">
        <f>'modify this'!T136</f>
        <v>0</v>
      </c>
    </row>
    <row r="137" spans="1:11" x14ac:dyDescent="0.3">
      <c r="A137">
        <f>'modify this'!A137</f>
        <v>0</v>
      </c>
      <c r="B137" t="str">
        <f>'modify this'!B137</f>
        <v>Y relative</v>
      </c>
      <c r="D137" t="str">
        <f>'modify this'!E137</f>
        <v>(input this in vsc)</v>
      </c>
      <c r="E137">
        <f>'modify this'!F137</f>
        <v>0</v>
      </c>
      <c r="F137">
        <f>'modify this'!G137</f>
        <v>0</v>
      </c>
      <c r="G137">
        <f>'modify this'!T137</f>
        <v>0</v>
      </c>
    </row>
    <row r="138" spans="1:11" x14ac:dyDescent="0.3">
      <c r="A138">
        <f>'modify this'!A138</f>
        <v>0</v>
      </c>
      <c r="B138" t="str">
        <f>'modify this'!B138</f>
        <v>Y test</v>
      </c>
      <c r="D138" t="str">
        <f>'modify this'!E138</f>
        <v>(use this for text)</v>
      </c>
      <c r="E138">
        <f>'modify this'!F138</f>
        <v>0</v>
      </c>
      <c r="F138">
        <f>'modify this'!G138</f>
        <v>0</v>
      </c>
      <c r="G138">
        <f>'modify this'!T138</f>
        <v>0</v>
      </c>
    </row>
    <row r="139" spans="1:11" x14ac:dyDescent="0.3">
      <c r="A139">
        <f>'modify this'!A139</f>
        <v>0</v>
      </c>
      <c r="B139" t="str">
        <f>'modify this'!B139</f>
        <v>Y offset</v>
      </c>
      <c r="D139" t="str">
        <f>'modify this'!E139</f>
        <v>(do not change)</v>
      </c>
      <c r="E139">
        <f>'modify this'!F139</f>
        <v>0</v>
      </c>
      <c r="F139">
        <f>'modify this'!G139</f>
        <v>0</v>
      </c>
      <c r="G139">
        <f>'modify this'!T139</f>
        <v>0</v>
      </c>
    </row>
    <row r="140" spans="1:11" x14ac:dyDescent="0.3">
      <c r="B140" t="str">
        <f>'modify this'!B140</f>
        <v>X relative</v>
      </c>
      <c r="D140" t="str">
        <f>'modify this'!E140</f>
        <v>(for text only)</v>
      </c>
      <c r="E140">
        <f>'modify this'!F140</f>
        <v>0</v>
      </c>
      <c r="F140">
        <f>'modify this'!G140</f>
        <v>0</v>
      </c>
      <c r="G140">
        <f>'modify this'!T140</f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menu mockup</vt:lpstr>
      <vt:lpstr>modify this</vt:lpstr>
      <vt:lpstr>only read from this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Ku</dc:creator>
  <cp:lastModifiedBy>Joel Ku</cp:lastModifiedBy>
  <dcterms:created xsi:type="dcterms:W3CDTF">2025-10-24T14:27:46Z</dcterms:created>
  <dcterms:modified xsi:type="dcterms:W3CDTF">2025-11-11T03:24:41Z</dcterms:modified>
</cp:coreProperties>
</file>