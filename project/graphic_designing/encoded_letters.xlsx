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k\Documents\ee_files\EE2026\project\graphic_designing\"/>
    </mc:Choice>
  </mc:AlternateContent>
  <xr:revisionPtr revIDLastSave="0" documentId="13_ncr:1_{10CABE00-EE5E-4778-869C-A018DF7F86BA}" xr6:coauthVersionLast="47" xr6:coauthVersionMax="47" xr10:uidLastSave="{00000000-0000-0000-0000-000000000000}"/>
  <bookViews>
    <workbookView xWindow="-108" yWindow="-108" windowWidth="23256" windowHeight="12456" activeTab="1" xr2:uid="{3F09DA75-48F6-4CED-A1E4-6F4F2B560964}"/>
  </bookViews>
  <sheets>
    <sheet name="Letter Encodin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24" i="2" l="1"/>
  <c r="AJ24" i="2" a="1"/>
  <c r="AJ24" i="2" s="1"/>
  <c r="AK24" i="2" a="1"/>
  <c r="AK24" i="2" s="1"/>
  <c r="AL24" i="2" a="1"/>
  <c r="AL24" i="2" s="1"/>
  <c r="AM24" i="2" a="1"/>
  <c r="AM24" i="2" s="1"/>
  <c r="AN24" i="2" a="1"/>
  <c r="AN24" i="2" s="1"/>
  <c r="AO24" i="2" a="1"/>
  <c r="AO24" i="2" s="1"/>
  <c r="AP24" i="2" a="1"/>
  <c r="AP24" i="2" s="1"/>
  <c r="AQ24" i="2" a="1"/>
  <c r="AQ24" i="2" s="1"/>
  <c r="AR24" i="2" a="1"/>
  <c r="AR24" i="2" s="1"/>
  <c r="AS24" i="2" a="1"/>
  <c r="AS24" i="2" s="1"/>
  <c r="AT24" i="2" a="1"/>
  <c r="AT24" i="2" s="1"/>
  <c r="AU24" i="2" a="1"/>
  <c r="AU24" i="2" s="1"/>
  <c r="AV24" i="2" a="1"/>
  <c r="AV24" i="2" s="1"/>
  <c r="AW24" i="2" a="1"/>
  <c r="AW24" i="2" s="1"/>
  <c r="AX24" i="2" a="1"/>
  <c r="AX24" i="2" s="1"/>
  <c r="AY24" i="2" a="1"/>
  <c r="AY24" i="2" s="1"/>
  <c r="AZ24" i="2" a="1"/>
  <c r="AZ24" i="2" s="1"/>
  <c r="BA24" i="2" a="1"/>
  <c r="BA24" i="2" s="1"/>
  <c r="BB24" i="2" a="1"/>
  <c r="BB24" i="2" s="1"/>
  <c r="BC24" i="2" a="1"/>
  <c r="BC24" i="2" s="1"/>
  <c r="BD24" i="2" a="1"/>
  <c r="BD24" i="2" s="1"/>
  <c r="BE24" i="2" a="1"/>
  <c r="BE24" i="2" s="1"/>
  <c r="BF24" i="2" a="1"/>
  <c r="BF24" i="2" s="1"/>
  <c r="BG24" i="2" a="1"/>
  <c r="BG24" i="2" s="1"/>
  <c r="BH24" i="2" a="1"/>
  <c r="BH24" i="2" s="1"/>
  <c r="BI24" i="2" a="1"/>
  <c r="BI24" i="2" s="1"/>
  <c r="BJ24" i="2" a="1"/>
  <c r="BJ24" i="2" s="1"/>
  <c r="BK24" i="2" a="1"/>
  <c r="BK24" i="2" s="1"/>
  <c r="BL24" i="2" a="1"/>
  <c r="BL24" i="2" s="1"/>
  <c r="AI24" i="2" a="1"/>
  <c r="AI24" i="2" s="1"/>
  <c r="AH24" i="2"/>
  <c r="BO6" i="2" a="1"/>
  <c r="BO6" i="2" s="1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5" i="2"/>
  <c r="AH26" i="2"/>
  <c r="AH27" i="2"/>
  <c r="AH28" i="2"/>
  <c r="AH29" i="2"/>
  <c r="AH30" i="2"/>
  <c r="AH31" i="2"/>
  <c r="AH32" i="2"/>
  <c r="AH33" i="2"/>
  <c r="AH34" i="2"/>
  <c r="AH1" i="2"/>
  <c r="BT28" i="2"/>
  <c r="BT21" i="2"/>
  <c r="BT14" i="2"/>
  <c r="BT7" i="2"/>
  <c r="AJ1" i="2" a="1"/>
  <c r="AJ1" i="2" s="1"/>
  <c r="AK1" i="2" a="1"/>
  <c r="AK1" i="2" s="1"/>
  <c r="AL1" i="2" a="1"/>
  <c r="AL1" i="2" s="1"/>
  <c r="AM1" i="2" a="1"/>
  <c r="AM1" i="2" s="1"/>
  <c r="AN1" i="2" a="1"/>
  <c r="AN1" i="2" s="1"/>
  <c r="AO1" i="2" a="1"/>
  <c r="AO1" i="2" s="1"/>
  <c r="AP1" i="2" a="1"/>
  <c r="AP1" i="2" s="1"/>
  <c r="AQ1" i="2" a="1"/>
  <c r="AQ1" i="2" s="1"/>
  <c r="AR1" i="2" a="1"/>
  <c r="AR1" i="2" s="1"/>
  <c r="AS1" i="2" a="1"/>
  <c r="AS1" i="2" s="1"/>
  <c r="AT1" i="2" a="1"/>
  <c r="AT1" i="2" s="1"/>
  <c r="AU1" i="2" a="1"/>
  <c r="AU1" i="2" s="1"/>
  <c r="AV1" i="2" a="1"/>
  <c r="AV1" i="2" s="1"/>
  <c r="AW1" i="2" a="1"/>
  <c r="AW1" i="2" s="1"/>
  <c r="AX1" i="2" a="1"/>
  <c r="AX1" i="2" s="1"/>
  <c r="AY1" i="2" a="1"/>
  <c r="AY1" i="2" s="1"/>
  <c r="AZ1" i="2" a="1"/>
  <c r="AZ1" i="2" s="1"/>
  <c r="BA1" i="2" a="1"/>
  <c r="BA1" i="2" s="1"/>
  <c r="BB1" i="2" a="1"/>
  <c r="BB1" i="2" s="1"/>
  <c r="BC1" i="2" a="1"/>
  <c r="BC1" i="2" s="1"/>
  <c r="BD1" i="2" a="1"/>
  <c r="BD1" i="2" s="1"/>
  <c r="BE1" i="2" a="1"/>
  <c r="BE1" i="2" s="1"/>
  <c r="BF1" i="2" a="1"/>
  <c r="BF1" i="2" s="1"/>
  <c r="BG1" i="2" a="1"/>
  <c r="BG1" i="2" s="1"/>
  <c r="BH1" i="2" a="1"/>
  <c r="BH1" i="2" s="1"/>
  <c r="BI1" i="2" a="1"/>
  <c r="BI1" i="2" s="1"/>
  <c r="BJ1" i="2" a="1"/>
  <c r="BJ1" i="2" s="1"/>
  <c r="BK1" i="2" a="1"/>
  <c r="BK1" i="2" s="1"/>
  <c r="AI5" i="2" a="1"/>
  <c r="AI5" i="2" s="1"/>
  <c r="AI4" i="2" a="1"/>
  <c r="AI4" i="2" s="1"/>
  <c r="AI3" i="2" a="1"/>
  <c r="AI3" i="2" s="1"/>
  <c r="AI2" i="2" a="1"/>
  <c r="AI2" i="2" s="1"/>
  <c r="AI1" i="2" a="1"/>
  <c r="AI1" i="2" s="1"/>
  <c r="C52" i="1"/>
  <c r="C53" i="1"/>
  <c r="C54" i="1"/>
  <c r="C55" i="1"/>
  <c r="C56" i="1"/>
  <c r="C57" i="1"/>
  <c r="C58" i="1"/>
  <c r="C59" i="1"/>
  <c r="C60" i="1"/>
  <c r="C61" i="1"/>
  <c r="C62" i="1"/>
  <c r="BL4" i="2" a="1"/>
  <c r="BL4" i="2" s="1"/>
  <c r="BM4" i="2" a="1"/>
  <c r="BM4" i="2" s="1"/>
  <c r="AT34" i="2" a="1"/>
  <c r="AT34" i="2" s="1"/>
  <c r="AU34" i="2" a="1"/>
  <c r="AU34" i="2" s="1"/>
  <c r="AV34" i="2" a="1"/>
  <c r="AV34" i="2" s="1"/>
  <c r="AW34" i="2" a="1"/>
  <c r="AW34" i="2" s="1"/>
  <c r="AX34" i="2" a="1"/>
  <c r="AX34" i="2" s="1"/>
  <c r="AT33" i="2" a="1"/>
  <c r="AT33" i="2" s="1"/>
  <c r="AU33" i="2" a="1"/>
  <c r="AU33" i="2" s="1"/>
  <c r="AW33" i="2" a="1"/>
  <c r="AW33" i="2" s="1"/>
  <c r="AX33" i="2" a="1"/>
  <c r="AX33" i="2" s="1"/>
  <c r="AY33" i="2" a="1"/>
  <c r="AY33" i="2" s="1"/>
  <c r="AZ33" i="2" a="1"/>
  <c r="AZ33" i="2" s="1"/>
  <c r="BA33" i="2" a="1"/>
  <c r="BA33" i="2" s="1"/>
  <c r="AT32" i="2" a="1"/>
  <c r="AT32" i="2" s="1"/>
  <c r="AU32" i="2" a="1"/>
  <c r="AU32" i="2" s="1"/>
  <c r="AV32" i="2" a="1"/>
  <c r="AV32" i="2" s="1"/>
  <c r="AY32" i="2" a="1"/>
  <c r="AY32" i="2" s="1"/>
  <c r="AZ32" i="2" a="1"/>
  <c r="AZ32" i="2" s="1"/>
  <c r="BA32" i="2" a="1"/>
  <c r="BA32" i="2" s="1"/>
  <c r="BB32" i="2" a="1"/>
  <c r="BB32" i="2" s="1"/>
  <c r="BC32" i="2" a="1"/>
  <c r="BC32" i="2" s="1"/>
  <c r="BD32" i="2" a="1"/>
  <c r="BD32" i="2" s="1"/>
  <c r="AT31" i="2" a="1"/>
  <c r="AT31" i="2" s="1"/>
  <c r="AU31" i="2" a="1"/>
  <c r="AU31" i="2" s="1"/>
  <c r="AV31" i="2" a="1"/>
  <c r="AV31" i="2" s="1"/>
  <c r="AW31" i="2" a="1"/>
  <c r="AW31" i="2" s="1"/>
  <c r="AX31" i="2" a="1"/>
  <c r="AX31" i="2" s="1"/>
  <c r="AU30" i="2" a="1"/>
  <c r="AU30" i="2" s="1"/>
  <c r="AV30" i="2" a="1"/>
  <c r="AV30" i="2" s="1"/>
  <c r="AJ29" i="2" a="1"/>
  <c r="AJ29" i="2" s="1"/>
  <c r="AK29" i="2" a="1"/>
  <c r="AK29" i="2" s="1"/>
  <c r="AL29" i="2" a="1"/>
  <c r="AL29" i="2" s="1"/>
  <c r="AN29" i="2" a="1"/>
  <c r="AN29" i="2" s="1"/>
  <c r="AO29" i="2" a="1"/>
  <c r="AO29" i="2" s="1"/>
  <c r="AQ29" i="2" a="1"/>
  <c r="AQ29" i="2" s="1"/>
  <c r="AR29" i="2" a="1"/>
  <c r="AR29" i="2" s="1"/>
  <c r="AK30" i="2" a="1"/>
  <c r="AK30" i="2" s="1"/>
  <c r="AL30" i="2" a="1"/>
  <c r="AL30" i="2" s="1"/>
  <c r="AP30" i="2" a="1"/>
  <c r="AP30" i="2" s="1"/>
  <c r="AQ30" i="2" a="1"/>
  <c r="AQ30" i="2" s="1"/>
  <c r="AJ31" i="2" a="1"/>
  <c r="AJ31" i="2" s="1"/>
  <c r="AK31" i="2" a="1"/>
  <c r="AK31" i="2" s="1"/>
  <c r="AL31" i="2" a="1"/>
  <c r="AL31" i="2" s="1"/>
  <c r="AM31" i="2" a="1"/>
  <c r="AM31" i="2" s="1"/>
  <c r="AO31" i="2" a="1"/>
  <c r="AO31" i="2" s="1"/>
  <c r="AP31" i="2" a="1"/>
  <c r="AP31" i="2" s="1"/>
  <c r="AQ31" i="2" a="1"/>
  <c r="AQ31" i="2" s="1"/>
  <c r="AR31" i="2" a="1"/>
  <c r="AR31" i="2" s="1"/>
  <c r="AS31" i="2" a="1"/>
  <c r="AS31" i="2" s="1"/>
  <c r="AJ32" i="2" a="1"/>
  <c r="AJ32" i="2" s="1"/>
  <c r="AK32" i="2" a="1"/>
  <c r="AK32" i="2" s="1"/>
  <c r="AL32" i="2" a="1"/>
  <c r="AL32" i="2" s="1"/>
  <c r="AM32" i="2" a="1"/>
  <c r="AM32" i="2" s="1"/>
  <c r="AO32" i="2" a="1"/>
  <c r="AO32" i="2" s="1"/>
  <c r="AP32" i="2" a="1"/>
  <c r="AP32" i="2" s="1"/>
  <c r="AQ32" i="2" a="1"/>
  <c r="AQ32" i="2" s="1"/>
  <c r="AJ33" i="2" a="1"/>
  <c r="AJ33" i="2" s="1"/>
  <c r="AL33" i="2" a="1"/>
  <c r="AL33" i="2" s="1"/>
  <c r="AO33" i="2" a="1"/>
  <c r="AO33" i="2" s="1"/>
  <c r="AR33" i="2" a="1"/>
  <c r="AR33" i="2" s="1"/>
  <c r="AS33" i="2" a="1"/>
  <c r="AS33" i="2" s="1"/>
  <c r="AJ34" i="2" a="1"/>
  <c r="AJ34" i="2" s="1"/>
  <c r="AK34" i="2" a="1"/>
  <c r="AK34" i="2" s="1"/>
  <c r="AL34" i="2" a="1"/>
  <c r="AL34" i="2" s="1"/>
  <c r="AM34" i="2" a="1"/>
  <c r="AM34" i="2" s="1"/>
  <c r="AN34" i="2" a="1"/>
  <c r="AN34" i="2" s="1"/>
  <c r="AO34" i="2" a="1"/>
  <c r="AO34" i="2" s="1"/>
  <c r="AP34" i="2" a="1"/>
  <c r="AP34" i="2" s="1"/>
  <c r="AQ34" i="2" a="1"/>
  <c r="AQ34" i="2" s="1"/>
  <c r="AR34" i="2" a="1"/>
  <c r="AR34" i="2" s="1"/>
  <c r="AI31" i="2" a="1"/>
  <c r="AI31" i="2" s="1"/>
  <c r="AI32" i="2" a="1"/>
  <c r="AI32" i="2" s="1"/>
  <c r="AI33" i="2" a="1"/>
  <c r="AI33" i="2" s="1"/>
  <c r="AI34" i="2" a="1"/>
  <c r="AI34" i="2" s="1"/>
  <c r="AI29" i="2" a="1"/>
  <c r="AI29" i="2" s="1"/>
  <c r="BE25" i="2" a="1"/>
  <c r="BE25" i="2" s="1"/>
  <c r="BF25" i="2" a="1"/>
  <c r="BF25" i="2" s="1"/>
  <c r="BH25" i="2" a="1"/>
  <c r="BH25" i="2" s="1"/>
  <c r="BI25" i="2" a="1"/>
  <c r="BI25" i="2" s="1"/>
  <c r="BJ25" i="2" a="1"/>
  <c r="BJ25" i="2" s="1"/>
  <c r="BK25" i="2" a="1"/>
  <c r="BK25" i="2" s="1"/>
  <c r="BE23" i="2" a="1"/>
  <c r="BE23" i="2" s="1"/>
  <c r="BF23" i="2" a="1"/>
  <c r="BF23" i="2" s="1"/>
  <c r="BG23" i="2" a="1"/>
  <c r="BG23" i="2" s="1"/>
  <c r="BF22" i="2" a="1"/>
  <c r="BF22" i="2" s="1"/>
  <c r="BG22" i="2" a="1"/>
  <c r="BG22" i="2" s="1"/>
  <c r="BI22" i="2" a="1"/>
  <c r="BI22" i="2" s="1"/>
  <c r="BJ22" i="2" a="1"/>
  <c r="BJ22" i="2" s="1"/>
  <c r="BK22" i="2" a="1"/>
  <c r="BK22" i="2" s="1"/>
  <c r="BA22" i="2" a="1"/>
  <c r="BA22" i="2" s="1"/>
  <c r="BB22" i="2" a="1"/>
  <c r="BB22" i="2" s="1"/>
  <c r="BC22" i="2" a="1"/>
  <c r="BC22" i="2" s="1"/>
  <c r="BD22" i="2" a="1"/>
  <c r="BD22" i="2" s="1"/>
  <c r="BA23" i="2" a="1"/>
  <c r="BA23" i="2" s="1"/>
  <c r="BB23" i="2" a="1"/>
  <c r="BB23" i="2" s="1"/>
  <c r="BD23" i="2" a="1"/>
  <c r="BD23" i="2" s="1"/>
  <c r="BA25" i="2" a="1"/>
  <c r="BA25" i="2" s="1"/>
  <c r="BB25" i="2" a="1"/>
  <c r="BB25" i="2" s="1"/>
  <c r="BC25" i="2" a="1"/>
  <c r="BC25" i="2" s="1"/>
  <c r="BD25" i="2" a="1"/>
  <c r="BD25" i="2" s="1"/>
  <c r="BB26" i="2" a="1"/>
  <c r="BB26" i="2" s="1"/>
  <c r="BC26" i="2" a="1"/>
  <c r="BC26" i="2" s="1"/>
  <c r="BD26" i="2" a="1"/>
  <c r="BD26" i="2" s="1"/>
  <c r="AV22" i="2" a="1"/>
  <c r="AV22" i="2" s="1"/>
  <c r="AW22" i="2" a="1"/>
  <c r="AW22" i="2" s="1"/>
  <c r="AX22" i="2" a="1"/>
  <c r="AX22" i="2" s="1"/>
  <c r="AY22" i="2" a="1"/>
  <c r="AY22" i="2" s="1"/>
  <c r="AZ22" i="2" a="1"/>
  <c r="AZ22" i="2" s="1"/>
  <c r="AW23" i="2" a="1"/>
  <c r="AW23" i="2" s="1"/>
  <c r="AX23" i="2" a="1"/>
  <c r="AX23" i="2" s="1"/>
  <c r="AZ23" i="2" a="1"/>
  <c r="AZ23" i="2" s="1"/>
  <c r="AW25" i="2" a="1"/>
  <c r="AW25" i="2" s="1"/>
  <c r="AX25" i="2" a="1"/>
  <c r="AX25" i="2" s="1"/>
  <c r="AY25" i="2" a="1"/>
  <c r="AY25" i="2" s="1"/>
  <c r="AZ25" i="2" a="1"/>
  <c r="AZ25" i="2" s="1"/>
  <c r="AV26" i="2" a="1"/>
  <c r="AV26" i="2" s="1"/>
  <c r="AW26" i="2" a="1"/>
  <c r="AW26" i="2" s="1"/>
  <c r="AX26" i="2" a="1"/>
  <c r="AX26" i="2" s="1"/>
  <c r="AY26" i="2" a="1"/>
  <c r="AY26" i="2" s="1"/>
  <c r="AZ26" i="2" a="1"/>
  <c r="AZ26" i="2" s="1"/>
  <c r="AR22" i="2" a="1"/>
  <c r="AR22" i="2" s="1"/>
  <c r="AS22" i="2" a="1"/>
  <c r="AS22" i="2" s="1"/>
  <c r="AU22" i="2" a="1"/>
  <c r="AU22" i="2" s="1"/>
  <c r="AR23" i="2" a="1"/>
  <c r="AR23" i="2" s="1"/>
  <c r="AS23" i="2" a="1"/>
  <c r="AS23" i="2" s="1"/>
  <c r="AT23" i="2" a="1"/>
  <c r="AT23" i="2" s="1"/>
  <c r="AR25" i="2" a="1"/>
  <c r="AR25" i="2" s="1"/>
  <c r="AS25" i="2" a="1"/>
  <c r="AS25" i="2" s="1"/>
  <c r="AT25" i="2" a="1"/>
  <c r="AT25" i="2" s="1"/>
  <c r="AU25" i="2" a="1"/>
  <c r="AU25" i="2" s="1"/>
  <c r="AU26" i="2" a="1"/>
  <c r="AU26" i="2" s="1"/>
  <c r="AQ23" i="2" a="1"/>
  <c r="AQ23" i="2" s="1"/>
  <c r="AQ25" i="2" a="1"/>
  <c r="AQ25" i="2" s="1"/>
  <c r="AQ26" i="2" a="1"/>
  <c r="AQ26" i="2" s="1"/>
  <c r="AQ22" i="2" a="1"/>
  <c r="AQ22" i="2" s="1"/>
  <c r="AI23" i="2" a="1"/>
  <c r="AI23" i="2" s="1"/>
  <c r="AJ23" i="2" a="1"/>
  <c r="AJ23" i="2" s="1"/>
  <c r="AK23" i="2" a="1"/>
  <c r="AK23" i="2" s="1"/>
  <c r="AM23" i="2" a="1"/>
  <c r="AM23" i="2" s="1"/>
  <c r="AN23" i="2" a="1"/>
  <c r="AN23" i="2" s="1"/>
  <c r="AP23" i="2" a="1"/>
  <c r="AP23" i="2" s="1"/>
  <c r="AI25" i="2" a="1"/>
  <c r="AI25" i="2" s="1"/>
  <c r="AK25" i="2" a="1"/>
  <c r="AK25" i="2" s="1"/>
  <c r="AI26" i="2" a="1"/>
  <c r="AI26" i="2" s="1"/>
  <c r="AJ26" i="2" a="1"/>
  <c r="AJ26" i="2" s="1"/>
  <c r="AK26" i="2" a="1"/>
  <c r="AK26" i="2" s="1"/>
  <c r="AL26" i="2" a="1"/>
  <c r="AL26" i="2" s="1"/>
  <c r="AN26" i="2" a="1"/>
  <c r="AN26" i="2" s="1"/>
  <c r="AO26" i="2" a="1"/>
  <c r="AO26" i="2" s="1"/>
  <c r="AP26" i="2" a="1"/>
  <c r="AP26" i="2" s="1"/>
  <c r="AI27" i="2" a="1"/>
  <c r="AI27" i="2" s="1"/>
  <c r="AJ27" i="2" a="1"/>
  <c r="AJ27" i="2" s="1"/>
  <c r="AK27" i="2" a="1"/>
  <c r="AK27" i="2" s="1"/>
  <c r="AL27" i="2" a="1"/>
  <c r="AL27" i="2" s="1"/>
  <c r="AM27" i="2" a="1"/>
  <c r="AM27" i="2" s="1"/>
  <c r="AN27" i="2" a="1"/>
  <c r="AN27" i="2" s="1"/>
  <c r="AO27" i="2" a="1"/>
  <c r="AO27" i="2" s="1"/>
  <c r="AJ22" i="2" a="1"/>
  <c r="AJ22" i="2" s="1"/>
  <c r="AK22" i="2" a="1"/>
  <c r="AK22" i="2" s="1"/>
  <c r="AL22" i="2" a="1"/>
  <c r="AL22" i="2" s="1"/>
  <c r="AM22" i="2" a="1"/>
  <c r="AM22" i="2" s="1"/>
  <c r="AN22" i="2" a="1"/>
  <c r="AN22" i="2" s="1"/>
  <c r="AP22" i="2" a="1"/>
  <c r="AP22" i="2" s="1"/>
  <c r="AI22" i="2" a="1"/>
  <c r="AI22" i="2" s="1"/>
  <c r="AT20" i="2" a="1"/>
  <c r="AT20" i="2" s="1"/>
  <c r="AV20" i="2" a="1"/>
  <c r="AV20" i="2" s="1"/>
  <c r="AW20" i="2" a="1"/>
  <c r="AW20" i="2" s="1"/>
  <c r="AX20" i="2" a="1"/>
  <c r="AX20" i="2" s="1"/>
  <c r="AY20" i="2" a="1"/>
  <c r="AY20" i="2" s="1"/>
  <c r="AZ20" i="2" a="1"/>
  <c r="AZ20" i="2" s="1"/>
  <c r="AT19" i="2" a="1"/>
  <c r="AT19" i="2" s="1"/>
  <c r="AU19" i="2" a="1"/>
  <c r="AU19" i="2" s="1"/>
  <c r="AV19" i="2" a="1"/>
  <c r="AV19" i="2" s="1"/>
  <c r="AX19" i="2" a="1"/>
  <c r="AX19" i="2" s="1"/>
  <c r="AY19" i="2" a="1"/>
  <c r="AY19" i="2" s="1"/>
  <c r="AZ19" i="2" a="1"/>
  <c r="AZ19" i="2" s="1"/>
  <c r="BC19" i="2" a="1"/>
  <c r="BC19" i="2" s="1"/>
  <c r="BD19" i="2" a="1"/>
  <c r="BD19" i="2" s="1"/>
  <c r="BE19" i="2" a="1"/>
  <c r="BE19" i="2" s="1"/>
  <c r="BG19" i="2" a="1"/>
  <c r="BG19" i="2" s="1"/>
  <c r="AT18" i="2" a="1"/>
  <c r="AT18" i="2" s="1"/>
  <c r="AU18" i="2" a="1"/>
  <c r="AU18" i="2" s="1"/>
  <c r="AV18" i="2" a="1"/>
  <c r="AV18" i="2" s="1"/>
  <c r="AX18" i="2" a="1"/>
  <c r="AX18" i="2" s="1"/>
  <c r="AY18" i="2" a="1"/>
  <c r="AY18" i="2" s="1"/>
  <c r="AZ18" i="2" a="1"/>
  <c r="AZ18" i="2" s="1"/>
  <c r="BA18" i="2" a="1"/>
  <c r="BA18" i="2" s="1"/>
  <c r="BB18" i="2" a="1"/>
  <c r="BB18" i="2" s="1"/>
  <c r="BC18" i="2" a="1"/>
  <c r="BC18" i="2" s="1"/>
  <c r="BE18" i="2" a="1"/>
  <c r="BE18" i="2" s="1"/>
  <c r="BG18" i="2" a="1"/>
  <c r="BG18" i="2" s="1"/>
  <c r="AT16" i="2" a="1"/>
  <c r="AT16" i="2" s="1"/>
  <c r="AU16" i="2" a="1"/>
  <c r="AU16" i="2" s="1"/>
  <c r="AV16" i="2" a="1"/>
  <c r="AV16" i="2" s="1"/>
  <c r="AX16" i="2" a="1"/>
  <c r="AX16" i="2" s="1"/>
  <c r="AY16" i="2" a="1"/>
  <c r="AY16" i="2" s="1"/>
  <c r="AZ16" i="2" a="1"/>
  <c r="AZ16" i="2" s="1"/>
  <c r="BA16" i="2" a="1"/>
  <c r="BA16" i="2" s="1"/>
  <c r="AT15" i="2" a="1"/>
  <c r="AT15" i="2" s="1"/>
  <c r="AU15" i="2" a="1"/>
  <c r="AU15" i="2" s="1"/>
  <c r="AV15" i="2" a="1"/>
  <c r="AV15" i="2" s="1"/>
  <c r="AW15" i="2" a="1"/>
  <c r="AW15" i="2" s="1"/>
  <c r="AZ15" i="2" a="1"/>
  <c r="AZ15" i="2" s="1"/>
  <c r="BA15" i="2" a="1"/>
  <c r="BA15" i="2" s="1"/>
  <c r="BB15" i="2" a="1"/>
  <c r="BB15" i="2" s="1"/>
  <c r="BC15" i="2" a="1"/>
  <c r="BC15" i="2" s="1"/>
  <c r="BD15" i="2" a="1"/>
  <c r="BD15" i="2" s="1"/>
  <c r="AI16" i="2" a="1"/>
  <c r="AI16" i="2" s="1"/>
  <c r="AJ16" i="2" a="1"/>
  <c r="AJ16" i="2" s="1"/>
  <c r="AK16" i="2" a="1"/>
  <c r="AK16" i="2" s="1"/>
  <c r="AL16" i="2" a="1"/>
  <c r="AL16" i="2" s="1"/>
  <c r="AM16" i="2" a="1"/>
  <c r="AM16" i="2" s="1"/>
  <c r="AN16" i="2" a="1"/>
  <c r="AN16" i="2" s="1"/>
  <c r="AO16" i="2" a="1"/>
  <c r="AO16" i="2" s="1"/>
  <c r="AP16" i="2" a="1"/>
  <c r="AP16" i="2" s="1"/>
  <c r="AQ16" i="2" a="1"/>
  <c r="AQ16" i="2" s="1"/>
  <c r="AR16" i="2" a="1"/>
  <c r="AR16" i="2" s="1"/>
  <c r="AI17" i="2" a="1"/>
  <c r="AI17" i="2" s="1"/>
  <c r="AJ17" i="2" a="1"/>
  <c r="AJ17" i="2" s="1"/>
  <c r="AK17" i="2" a="1"/>
  <c r="AK17" i="2" s="1"/>
  <c r="AL17" i="2" a="1"/>
  <c r="AL17" i="2" s="1"/>
  <c r="AM17" i="2" a="1"/>
  <c r="AM17" i="2" s="1"/>
  <c r="AN17" i="2" a="1"/>
  <c r="AN17" i="2" s="1"/>
  <c r="AO17" i="2" a="1"/>
  <c r="AO17" i="2" s="1"/>
  <c r="AP17" i="2" a="1"/>
  <c r="AP17" i="2" s="1"/>
  <c r="AQ17" i="2" a="1"/>
  <c r="AQ17" i="2" s="1"/>
  <c r="AR17" i="2" a="1"/>
  <c r="AR17" i="2" s="1"/>
  <c r="AI18" i="2" a="1"/>
  <c r="AI18" i="2" s="1"/>
  <c r="AJ18" i="2" a="1"/>
  <c r="AJ18" i="2" s="1"/>
  <c r="AK18" i="2" a="1"/>
  <c r="AK18" i="2" s="1"/>
  <c r="AL18" i="2" a="1"/>
  <c r="AL18" i="2" s="1"/>
  <c r="AN18" i="2" a="1"/>
  <c r="AN18" i="2" s="1"/>
  <c r="AO18" i="2" a="1"/>
  <c r="AO18" i="2" s="1"/>
  <c r="AP18" i="2" a="1"/>
  <c r="AP18" i="2" s="1"/>
  <c r="AQ18" i="2" a="1"/>
  <c r="AQ18" i="2" s="1"/>
  <c r="AR18" i="2" a="1"/>
  <c r="AR18" i="2" s="1"/>
  <c r="AS18" i="2" a="1"/>
  <c r="AS18" i="2" s="1"/>
  <c r="AI19" i="2" a="1"/>
  <c r="AI19" i="2" s="1"/>
  <c r="AJ19" i="2" a="1"/>
  <c r="AJ19" i="2" s="1"/>
  <c r="AK19" i="2" a="1"/>
  <c r="AK19" i="2" s="1"/>
  <c r="AL19" i="2" a="1"/>
  <c r="AL19" i="2" s="1"/>
  <c r="AN19" i="2" a="1"/>
  <c r="AN19" i="2" s="1"/>
  <c r="AO19" i="2" a="1"/>
  <c r="AO19" i="2" s="1"/>
  <c r="AP19" i="2" a="1"/>
  <c r="AP19" i="2" s="1"/>
  <c r="AQ19" i="2" a="1"/>
  <c r="AQ19" i="2" s="1"/>
  <c r="AR19" i="2" a="1"/>
  <c r="AR19" i="2" s="1"/>
  <c r="AI20" i="2" a="1"/>
  <c r="AI20" i="2" s="1"/>
  <c r="AJ20" i="2" a="1"/>
  <c r="AJ20" i="2" s="1"/>
  <c r="AK20" i="2" a="1"/>
  <c r="AK20" i="2" s="1"/>
  <c r="AM20" i="2" a="1"/>
  <c r="AM20" i="2" s="1"/>
  <c r="AN20" i="2" a="1"/>
  <c r="AN20" i="2" s="1"/>
  <c r="AO20" i="2" a="1"/>
  <c r="AO20" i="2" s="1"/>
  <c r="AP20" i="2" a="1"/>
  <c r="AP20" i="2" s="1"/>
  <c r="AQ20" i="2" a="1"/>
  <c r="AQ20" i="2" s="1"/>
  <c r="AR20" i="2" a="1"/>
  <c r="AR20" i="2" s="1"/>
  <c r="AS20" i="2" a="1"/>
  <c r="AS20" i="2" s="1"/>
  <c r="AJ15" i="2" a="1"/>
  <c r="AJ15" i="2" s="1"/>
  <c r="AL15" i="2" a="1"/>
  <c r="AL15" i="2" s="1"/>
  <c r="AM15" i="2" a="1"/>
  <c r="AM15" i="2" s="1"/>
  <c r="AN15" i="2" a="1"/>
  <c r="AN15" i="2" s="1"/>
  <c r="AO15" i="2" a="1"/>
  <c r="AO15" i="2" s="1"/>
  <c r="AP15" i="2" a="1"/>
  <c r="AP15" i="2" s="1"/>
  <c r="AR15" i="2" a="1"/>
  <c r="AR15" i="2" s="1"/>
  <c r="AS15" i="2" a="1"/>
  <c r="AS15" i="2" s="1"/>
  <c r="AI15" i="2" a="1"/>
  <c r="AI15" i="2" s="1"/>
  <c r="AZ9" i="2" a="1"/>
  <c r="AZ9" i="2" s="1"/>
  <c r="BB9" i="2" a="1"/>
  <c r="BB9" i="2" s="1"/>
  <c r="BC9" i="2" a="1"/>
  <c r="BC9" i="2" s="1"/>
  <c r="BD9" i="2" a="1"/>
  <c r="BD9" i="2" s="1"/>
  <c r="BE9" i="2" a="1"/>
  <c r="BE9" i="2" s="1"/>
  <c r="BF9" i="2" a="1"/>
  <c r="BF9" i="2" s="1"/>
  <c r="BH9" i="2" a="1"/>
  <c r="BH9" i="2" s="1"/>
  <c r="BI9" i="2" a="1"/>
  <c r="BI9" i="2" s="1"/>
  <c r="BK9" i="2" a="1"/>
  <c r="BK9" i="2" s="1"/>
  <c r="BL9" i="2" a="1"/>
  <c r="BL9" i="2" s="1"/>
  <c r="AZ8" i="2" a="1"/>
  <c r="AZ8" i="2" s="1"/>
  <c r="BA8" i="2" a="1"/>
  <c r="BA8" i="2" s="1"/>
  <c r="BB8" i="2" a="1"/>
  <c r="BB8" i="2" s="1"/>
  <c r="BC8" i="2" a="1"/>
  <c r="BC8" i="2" s="1"/>
  <c r="BD8" i="2" a="1"/>
  <c r="BD8" i="2" s="1"/>
  <c r="BF8" i="2" a="1"/>
  <c r="BF8" i="2" s="1"/>
  <c r="BG8" i="2" a="1"/>
  <c r="BG8" i="2" s="1"/>
  <c r="AZ12" i="2" a="1"/>
  <c r="AZ12" i="2" s="1"/>
  <c r="BA12" i="2" a="1"/>
  <c r="BA12" i="2" s="1"/>
  <c r="BC12" i="2" a="1"/>
  <c r="BC12" i="2" s="1"/>
  <c r="BD12" i="2" a="1"/>
  <c r="BD12" i="2" s="1"/>
  <c r="BE12" i="2" a="1"/>
  <c r="BE12" i="2" s="1"/>
  <c r="BF12" i="2" a="1"/>
  <c r="BF12" i="2" s="1"/>
  <c r="AZ11" i="2" a="1"/>
  <c r="AZ11" i="2" s="1"/>
  <c r="BA11" i="2" a="1"/>
  <c r="BA11" i="2" s="1"/>
  <c r="BB11" i="2" a="1"/>
  <c r="BB11" i="2" s="1"/>
  <c r="BC11" i="2" a="1"/>
  <c r="BC11" i="2" s="1"/>
  <c r="BD11" i="2" a="1"/>
  <c r="BD11" i="2" s="1"/>
  <c r="BE11" i="2" a="1"/>
  <c r="BE11" i="2" s="1"/>
  <c r="BF11" i="2" a="1"/>
  <c r="BF11" i="2" s="1"/>
  <c r="BG11" i="2" a="1"/>
  <c r="BG11" i="2" s="1"/>
  <c r="AW9" i="2" a="1"/>
  <c r="AW9" i="2" s="1"/>
  <c r="AY9" i="2" a="1"/>
  <c r="AY9" i="2" s="1"/>
  <c r="AW10" i="2" a="1"/>
  <c r="AW10" i="2" s="1"/>
  <c r="AW11" i="2" a="1"/>
  <c r="AW11" i="2" s="1"/>
  <c r="AX11" i="2" a="1"/>
  <c r="AX11" i="2" s="1"/>
  <c r="AY11" i="2" a="1"/>
  <c r="AY11" i="2" s="1"/>
  <c r="AW12" i="2" a="1"/>
  <c r="AW12" i="2" s="1"/>
  <c r="AX12" i="2" a="1"/>
  <c r="AX12" i="2" s="1"/>
  <c r="AY12" i="2" a="1"/>
  <c r="AY12" i="2" s="1"/>
  <c r="AX8" i="2" a="1"/>
  <c r="AX8" i="2" s="1"/>
  <c r="AW8" i="2" a="1"/>
  <c r="AW8" i="2" s="1"/>
  <c r="AJ8" i="2" a="1"/>
  <c r="AJ8" i="2" s="1"/>
  <c r="AK8" i="2" a="1"/>
  <c r="AK8" i="2" s="1"/>
  <c r="AL8" i="2" a="1"/>
  <c r="AL8" i="2" s="1"/>
  <c r="AM8" i="2" a="1"/>
  <c r="AM8" i="2"/>
  <c r="AN8" i="2" a="1"/>
  <c r="AN8" i="2" s="1"/>
  <c r="AO8" i="2" a="1"/>
  <c r="AO8" i="2" s="1"/>
  <c r="AP8" i="2" a="1"/>
  <c r="AP8" i="2" s="1"/>
  <c r="AR8" i="2" a="1"/>
  <c r="AR8" i="2" s="1"/>
  <c r="AS8" i="2" a="1"/>
  <c r="AS8" i="2" s="1"/>
  <c r="AT8" i="2" a="1"/>
  <c r="AT8" i="2" s="1"/>
  <c r="AU8" i="2" a="1"/>
  <c r="AU8" i="2" s="1"/>
  <c r="AV8" i="2" a="1"/>
  <c r="AV8" i="2" s="1"/>
  <c r="AJ9" i="2" a="1"/>
  <c r="AJ9" i="2" s="1"/>
  <c r="AK9" i="2" a="1"/>
  <c r="AK9" i="2" s="1"/>
  <c r="AL9" i="2" a="1"/>
  <c r="AL9" i="2" s="1"/>
  <c r="AM9" i="2" a="1"/>
  <c r="AM9" i="2" s="1"/>
  <c r="AN9" i="2" a="1"/>
  <c r="AN9" i="2" s="1"/>
  <c r="AO9" i="2" a="1"/>
  <c r="AO9" i="2" s="1"/>
  <c r="AP9" i="2" a="1"/>
  <c r="AP9" i="2" s="1"/>
  <c r="AQ9" i="2" a="1"/>
  <c r="AQ9" i="2" s="1"/>
  <c r="AR9" i="2" a="1"/>
  <c r="AR9" i="2" s="1"/>
  <c r="AT9" i="2" a="1"/>
  <c r="AT9" i="2" s="1"/>
  <c r="AU9" i="2" a="1"/>
  <c r="AU9" i="2" s="1"/>
  <c r="AV9" i="2" a="1"/>
  <c r="AV9" i="2" s="1"/>
  <c r="AK10" i="2" a="1"/>
  <c r="AK10" i="2" s="1"/>
  <c r="AL10" i="2" a="1"/>
  <c r="AL10" i="2" s="1"/>
  <c r="AM10" i="2" a="1"/>
  <c r="AM10" i="2" s="1"/>
  <c r="AO10" i="2" a="1"/>
  <c r="AO10" i="2" s="1"/>
  <c r="AP10" i="2" a="1"/>
  <c r="AP10" i="2" s="1"/>
  <c r="AQ10" i="2" a="1"/>
  <c r="AQ10" i="2" s="1"/>
  <c r="AR10" i="2" a="1"/>
  <c r="AR10" i="2" s="1"/>
  <c r="AS10" i="2" a="1"/>
  <c r="AS10" i="2" s="1"/>
  <c r="AT10" i="2" a="1"/>
  <c r="AT10" i="2" s="1"/>
  <c r="AU10" i="2" a="1"/>
  <c r="AU10" i="2" s="1"/>
  <c r="AV10" i="2" a="1"/>
  <c r="AV10" i="2" s="1"/>
  <c r="AJ11" i="2" a="1"/>
  <c r="AJ11" i="2" s="1"/>
  <c r="AK11" i="2" a="1"/>
  <c r="AK11" i="2" s="1"/>
  <c r="AL11" i="2" a="1"/>
  <c r="AL11" i="2" s="1"/>
  <c r="AO11" i="2" a="1"/>
  <c r="AO11" i="2" s="1"/>
  <c r="AP11" i="2" a="1"/>
  <c r="AP11" i="2" s="1"/>
  <c r="AQ11" i="2" a="1"/>
  <c r="AQ11" i="2" s="1"/>
  <c r="AR11" i="2" a="1"/>
  <c r="AR11" i="2" s="1"/>
  <c r="AT11" i="2" a="1"/>
  <c r="AT11" i="2" s="1"/>
  <c r="AV11" i="2" a="1"/>
  <c r="AV11" i="2" s="1"/>
  <c r="AJ12" i="2" a="1"/>
  <c r="AJ12" i="2" s="1"/>
  <c r="AK12" i="2" a="1"/>
  <c r="AK12" i="2" s="1"/>
  <c r="AL12" i="2" a="1"/>
  <c r="AL12" i="2" s="1"/>
  <c r="AM12" i="2" a="1"/>
  <c r="AM12" i="2" s="1"/>
  <c r="AN12" i="2" a="1"/>
  <c r="AN12" i="2" s="1"/>
  <c r="AO12" i="2" a="1"/>
  <c r="AO12" i="2" s="1"/>
  <c r="AP12" i="2" a="1"/>
  <c r="AP12" i="2" s="1"/>
  <c r="AQ12" i="2" a="1"/>
  <c r="AQ12" i="2" s="1"/>
  <c r="AS12" i="2" a="1"/>
  <c r="AS12" i="2" s="1"/>
  <c r="AT12" i="2" a="1"/>
  <c r="AT12" i="2" s="1"/>
  <c r="AU12" i="2" a="1"/>
  <c r="AU12" i="2" s="1"/>
  <c r="AJ13" i="2" a="1"/>
  <c r="AJ13" i="2" s="1"/>
  <c r="AK13" i="2" a="1"/>
  <c r="AK13" i="2" s="1"/>
  <c r="AM13" i="2" a="1"/>
  <c r="AM13" i="2" s="1"/>
  <c r="AN13" i="2" a="1"/>
  <c r="AN13" i="2" s="1"/>
  <c r="AO13" i="2" a="1"/>
  <c r="AO13" i="2" s="1"/>
  <c r="AP13" i="2" a="1"/>
  <c r="AP13" i="2" s="1"/>
  <c r="AQ13" i="2" a="1"/>
  <c r="AQ13" i="2" s="1"/>
  <c r="AR13" i="2" a="1"/>
  <c r="AR13" i="2" s="1"/>
  <c r="AS13" i="2" a="1"/>
  <c r="AS13" i="2" s="1"/>
  <c r="AT13" i="2" a="1"/>
  <c r="AT13" i="2" s="1"/>
  <c r="AU13" i="2" a="1"/>
  <c r="AU13" i="2" s="1"/>
  <c r="AI9" i="2" a="1"/>
  <c r="AI9" i="2" s="1"/>
  <c r="AI10" i="2" a="1"/>
  <c r="AI10" i="2" s="1"/>
  <c r="AI11" i="2" a="1"/>
  <c r="AI11" i="2" s="1"/>
  <c r="AI12" i="2" a="1"/>
  <c r="AI12" i="2" s="1"/>
  <c r="AI13" i="2" a="1"/>
  <c r="AI13" i="2" s="1"/>
  <c r="AI8" i="2" a="1"/>
  <c r="AI8" i="2" s="1"/>
  <c r="BL6" i="2" a="1"/>
  <c r="BL6" i="2" s="1"/>
  <c r="BM6" i="2" a="1"/>
  <c r="BM6" i="2" s="1"/>
  <c r="BN6" i="2" a="1"/>
  <c r="BN6" i="2" s="1"/>
  <c r="AN2" i="2" a="1"/>
  <c r="AN2" i="2" s="1"/>
  <c r="AM3" i="2" a="1"/>
  <c r="AM3" i="2" s="1"/>
  <c r="AM4" i="2" a="1"/>
  <c r="AM4" i="2" s="1"/>
  <c r="AN4" i="2" a="1"/>
  <c r="AN4" i="2" s="1"/>
  <c r="AM5" i="2" a="1"/>
  <c r="AM5" i="2" s="1"/>
  <c r="AN6" i="2" a="1"/>
  <c r="AN6" i="2" s="1"/>
  <c r="AJ3" i="2" a="1"/>
  <c r="AJ3" i="2" s="1"/>
  <c r="AK3" i="2" a="1"/>
  <c r="AK3" i="2" s="1"/>
  <c r="AL3" i="2" a="1"/>
  <c r="AL3" i="2" s="1"/>
  <c r="AJ4" i="2" a="1"/>
  <c r="AJ4" i="2" s="1"/>
  <c r="AK4" i="2" a="1"/>
  <c r="AK4" i="2" s="1"/>
  <c r="AJ5" i="2" a="1"/>
  <c r="AJ5" i="2" s="1"/>
  <c r="AK5" i="2" a="1"/>
  <c r="AK5" i="2" s="1"/>
  <c r="AL5" i="2" a="1"/>
  <c r="AL5" i="2" s="1"/>
  <c r="AI6" i="2" a="1"/>
  <c r="AI6" i="2" s="1"/>
  <c r="AJ6" i="2" a="1"/>
  <c r="AJ6" i="2" s="1"/>
  <c r="AK6" i="2" a="1"/>
  <c r="AK6" i="2" s="1"/>
  <c r="AL6" i="2" a="1"/>
  <c r="AL6" i="2" s="1"/>
  <c r="AJ2" i="2" a="1"/>
  <c r="AJ2" i="2" s="1"/>
  <c r="AL2" i="2" a="1"/>
  <c r="AL2" i="2" s="1"/>
  <c r="AO2" i="2" a="1"/>
  <c r="AO2" i="2" s="1"/>
  <c r="AP2" i="2" a="1"/>
  <c r="AP2" i="2" s="1"/>
  <c r="AQ2" i="2" a="1"/>
  <c r="AQ2" i="2" s="1"/>
  <c r="AT2" i="2" a="1"/>
  <c r="AT2" i="2" s="1"/>
  <c r="AU2" i="2" a="1"/>
  <c r="AU2" i="2" s="1"/>
  <c r="AV2" i="2" a="1"/>
  <c r="AV2" i="2" s="1"/>
  <c r="AW2" i="2" a="1"/>
  <c r="AW2" i="2" s="1"/>
  <c r="AX2" i="2" a="1"/>
  <c r="AX2" i="2" s="1"/>
  <c r="AY2" i="2" a="1"/>
  <c r="AY2" i="2" s="1"/>
  <c r="AZ2" i="2" a="1"/>
  <c r="AZ2" i="2" s="1"/>
  <c r="BA2" i="2" a="1"/>
  <c r="BA2" i="2" s="1"/>
  <c r="BB2" i="2" a="1"/>
  <c r="BB2" i="2" s="1"/>
  <c r="BC2" i="2" a="1"/>
  <c r="BC2" i="2" s="1"/>
  <c r="BE2" i="2" a="1"/>
  <c r="BE2" i="2" s="1"/>
  <c r="BF2" i="2" a="1"/>
  <c r="BF2" i="2" s="1"/>
  <c r="BG2" i="2" a="1"/>
  <c r="BG2" i="2" s="1"/>
  <c r="BH2" i="2" a="1"/>
  <c r="BH2" i="2" s="1"/>
  <c r="AO4" i="2" a="1"/>
  <c r="AO4" i="2" s="1"/>
  <c r="AP4" i="2" a="1"/>
  <c r="AP4" i="2" s="1"/>
  <c r="AS4" i="2" a="1"/>
  <c r="AS4" i="2" s="1"/>
  <c r="AT4" i="2" a="1"/>
  <c r="AT4" i="2" s="1"/>
  <c r="AU4" i="2" a="1"/>
  <c r="AU4" i="2" s="1"/>
  <c r="AV4" i="2" a="1"/>
  <c r="AV4" i="2" s="1"/>
  <c r="AW4" i="2" a="1"/>
  <c r="AW4" i="2" s="1"/>
  <c r="AY4" i="2" a="1"/>
  <c r="AY4" i="2" s="1"/>
  <c r="AZ4" i="2" a="1"/>
  <c r="AZ4" i="2" s="1"/>
  <c r="BA4" i="2" a="1"/>
  <c r="BA4" i="2" s="1"/>
  <c r="BB4" i="2" a="1"/>
  <c r="BB4" i="2" s="1"/>
  <c r="BE4" i="2" a="1"/>
  <c r="BE4" i="2" s="1"/>
  <c r="BF4" i="2" a="1"/>
  <c r="BF4" i="2" s="1"/>
  <c r="BG4" i="2" a="1"/>
  <c r="BG4" i="2" s="1"/>
  <c r="BH4" i="2" a="1"/>
  <c r="BH4" i="2" s="1"/>
  <c r="BI4" i="2" a="1"/>
  <c r="BI4" i="2" s="1"/>
  <c r="BK4" i="2" a="1"/>
  <c r="BK4" i="2" s="1"/>
  <c r="AO5" i="2" a="1"/>
  <c r="AO5" i="2" s="1"/>
  <c r="AP5" i="2" a="1"/>
  <c r="AP5" i="2" s="1"/>
  <c r="AQ5" i="2" a="1"/>
  <c r="AQ5" i="2" s="1"/>
  <c r="AR5" i="2" a="1"/>
  <c r="AR5" i="2" s="1"/>
  <c r="AS5" i="2" a="1"/>
  <c r="AS5" i="2" s="1"/>
  <c r="AU5" i="2" a="1"/>
  <c r="AU5" i="2" s="1"/>
  <c r="AV5" i="2" a="1"/>
  <c r="AV5" i="2" s="1"/>
  <c r="AW5" i="2" a="1"/>
  <c r="AW5" i="2" s="1"/>
  <c r="AX5" i="2" a="1"/>
  <c r="AX5" i="2" s="1"/>
  <c r="AY5" i="2" a="1"/>
  <c r="AY5" i="2" s="1"/>
  <c r="BB5" i="2" a="1"/>
  <c r="BB5" i="2" s="1"/>
  <c r="BC5" i="2" a="1"/>
  <c r="BC5" i="2" s="1"/>
  <c r="BD5" i="2" a="1"/>
  <c r="BD5" i="2" s="1"/>
  <c r="BE5" i="2" a="1"/>
  <c r="BE5" i="2" s="1"/>
  <c r="BG5" i="2" a="1"/>
  <c r="BG5" i="2" s="1"/>
  <c r="BH5" i="2" a="1"/>
  <c r="BH5" i="2" s="1"/>
  <c r="BI5" i="2" a="1"/>
  <c r="BI5" i="2" s="1"/>
  <c r="BJ5" i="2" a="1"/>
  <c r="BJ5" i="2" s="1"/>
  <c r="BK5" i="2" a="1"/>
  <c r="BK5" i="2" s="1"/>
  <c r="AO6" i="2" a="1"/>
  <c r="AO6" i="2" s="1"/>
  <c r="AQ6" i="2" a="1"/>
  <c r="AQ6" i="2" s="1"/>
  <c r="AR6" i="2" a="1"/>
  <c r="AR6" i="2" s="1"/>
  <c r="AS6" i="2" a="1"/>
  <c r="AS6" i="2" s="1"/>
  <c r="AT6" i="2" a="1"/>
  <c r="AT6" i="2" s="1"/>
  <c r="AU6" i="2" a="1"/>
  <c r="AU6" i="2" s="1"/>
  <c r="AV6" i="2" a="1"/>
  <c r="AV6" i="2" s="1"/>
  <c r="AW6" i="2" a="1"/>
  <c r="AW6" i="2" s="1"/>
  <c r="AY6" i="2" a="1"/>
  <c r="AY6" i="2" s="1"/>
  <c r="AZ6" i="2" a="1"/>
  <c r="AZ6" i="2" s="1"/>
  <c r="BB6" i="2" a="1"/>
  <c r="BB6" i="2" s="1"/>
  <c r="BC6" i="2" a="1"/>
  <c r="BC6" i="2" s="1"/>
  <c r="BD6" i="2" a="1"/>
  <c r="BD6" i="2" s="1"/>
  <c r="BE6" i="2" a="1"/>
  <c r="BE6" i="2" s="1"/>
  <c r="BF6" i="2" a="1"/>
  <c r="BF6" i="2" s="1"/>
  <c r="BH6" i="2" a="1"/>
  <c r="BH6" i="2" s="1"/>
  <c r="BI6" i="2" a="1"/>
  <c r="BI6" i="2" s="1"/>
  <c r="BJ6" i="2" a="1"/>
  <c r="BJ6" i="2" s="1"/>
  <c r="BK6" i="2" a="1"/>
  <c r="BK6" i="2" s="1"/>
  <c r="BM22" i="2" a="1"/>
  <c r="BM22" i="2" s="1"/>
  <c r="BL22" i="2" a="1"/>
  <c r="BL22" i="2" s="1"/>
  <c r="BJ19" i="2" a="1"/>
  <c r="BJ19" i="2" s="1"/>
  <c r="BI19" i="2" a="1"/>
  <c r="BI19" i="2" s="1"/>
  <c r="BH19" i="2" a="1"/>
  <c r="BH19" i="2" s="1"/>
  <c r="BM18" i="2" a="1"/>
  <c r="BM18" i="2" s="1"/>
  <c r="BL18" i="2" a="1"/>
  <c r="BL18" i="2" s="1"/>
  <c r="BK18" i="2" a="1"/>
  <c r="BK18" i="2" s="1"/>
  <c r="BJ18" i="2" a="1"/>
  <c r="BJ18" i="2" s="1"/>
  <c r="BI18" i="2" a="1"/>
  <c r="BI18" i="2" s="1"/>
  <c r="BH18" i="2" a="1"/>
  <c r="BH18" i="2" s="1"/>
  <c r="AX32" i="2" a="1"/>
  <c r="AX32" i="2" s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C4" i="1"/>
  <c r="D3" i="1"/>
  <c r="C3" i="1"/>
  <c r="C2" i="1"/>
  <c r="BC4" i="2" l="1" a="1"/>
  <c r="BC4" i="2" s="1"/>
  <c r="AM6" i="2" a="1"/>
  <c r="AM6" i="2" s="1"/>
  <c r="BT6" i="2" s="1"/>
  <c r="AM2" i="2" a="1"/>
  <c r="AM2" i="2" s="1"/>
  <c r="AV13" i="2" a="1"/>
  <c r="AV13" i="2" s="1"/>
  <c r="AS11" i="2" a="1"/>
  <c r="AS11" i="2" s="1"/>
  <c r="AM19" i="2" a="1"/>
  <c r="AM19" i="2" s="1"/>
  <c r="BT19" i="2" s="1"/>
  <c r="AS17" i="2" a="1"/>
  <c r="AS17" i="2" s="1"/>
  <c r="BP17" i="2" s="1"/>
  <c r="BF19" i="2" a="1"/>
  <c r="BF19" i="2" s="1"/>
  <c r="AM26" i="2" a="1"/>
  <c r="AM26" i="2" s="1"/>
  <c r="AM25" i="2" a="1"/>
  <c r="AM25" i="2" s="1"/>
  <c r="AM30" i="2" a="1"/>
  <c r="AM30" i="2" s="1"/>
  <c r="AW32" i="2" a="1"/>
  <c r="AW32" i="2" s="1"/>
  <c r="BJ4" i="2" a="1"/>
  <c r="BJ4" i="2" s="1"/>
  <c r="AN5" i="2" a="1"/>
  <c r="AN5" i="2" s="1"/>
  <c r="BT5" i="2" s="1"/>
  <c r="AR12" i="2" a="1"/>
  <c r="AR12" i="2" s="1"/>
  <c r="BT12" i="2" s="1"/>
  <c r="BE8" i="2" a="1"/>
  <c r="BE8" i="2" s="1"/>
  <c r="BJ9" i="2" a="1"/>
  <c r="BJ9" i="2" s="1"/>
  <c r="AW19" i="2" a="1"/>
  <c r="AW19" i="2" s="1"/>
  <c r="AL25" i="2" a="1"/>
  <c r="AL25" i="2" s="1"/>
  <c r="AL23" i="2" a="1"/>
  <c r="AL23" i="2" s="1"/>
  <c r="AV23" i="2" a="1"/>
  <c r="AV23" i="2" s="1"/>
  <c r="BG25" i="2" a="1"/>
  <c r="BG25" i="2" s="1"/>
  <c r="AI30" i="2" a="1"/>
  <c r="AI30" i="2" s="1"/>
  <c r="AN33" i="2" a="1"/>
  <c r="AN33" i="2" s="1"/>
  <c r="AV33" i="2" a="1"/>
  <c r="AV33" i="2" s="1"/>
  <c r="AL13" i="2" a="1"/>
  <c r="AL13" i="2" s="1"/>
  <c r="BT13" i="2" s="1"/>
  <c r="AN11" i="2" a="1"/>
  <c r="AN11" i="2" s="1"/>
  <c r="AQ8" i="2" a="1"/>
  <c r="AQ8" i="2" s="1"/>
  <c r="AY8" i="2" a="1"/>
  <c r="AY8" i="2" s="1"/>
  <c r="AY10" i="2" a="1"/>
  <c r="AY10" i="2" s="1"/>
  <c r="BA9" i="2" a="1"/>
  <c r="BA9" i="2" s="1"/>
  <c r="AS19" i="2" a="1"/>
  <c r="AS19" i="2" s="1"/>
  <c r="BF18" i="2" a="1"/>
  <c r="BF18" i="2" s="1"/>
  <c r="BA26" i="2" a="1"/>
  <c r="BA26" i="2" s="1"/>
  <c r="BH23" i="2" a="1"/>
  <c r="BH23" i="2" s="1"/>
  <c r="AS34" i="2" a="1"/>
  <c r="AS34" i="2" s="1"/>
  <c r="AM33" i="2" a="1"/>
  <c r="AM33" i="2" s="1"/>
  <c r="AS30" i="2" a="1"/>
  <c r="AS30" i="2" s="1"/>
  <c r="AM29" i="2" a="1"/>
  <c r="AM29" i="2" s="1"/>
  <c r="AT30" i="2" a="1"/>
  <c r="AT30" i="2" s="1"/>
  <c r="AT5" i="2" a="1"/>
  <c r="AT5" i="2" s="1"/>
  <c r="BA5" i="2" a="1"/>
  <c r="BA5" i="2" s="1"/>
  <c r="AR4" i="2" a="1"/>
  <c r="AR4" i="2" s="1"/>
  <c r="BD2" i="2" a="1"/>
  <c r="BD2" i="2" s="1"/>
  <c r="AX10" i="2" a="1"/>
  <c r="AX10" i="2" s="1"/>
  <c r="AM18" i="2" a="1"/>
  <c r="AM18" i="2" s="1"/>
  <c r="BT18" i="2" s="1"/>
  <c r="AS16" i="2" a="1"/>
  <c r="AS16" i="2" s="1"/>
  <c r="BT16" i="2" s="1"/>
  <c r="AY15" i="2" a="1"/>
  <c r="AY15" i="2" s="1"/>
  <c r="AW18" i="2" a="1"/>
  <c r="AW18" i="2" s="1"/>
  <c r="AU20" i="2" a="1"/>
  <c r="AU20" i="2" s="1"/>
  <c r="AJ25" i="2" a="1"/>
  <c r="AJ25" i="2" s="1"/>
  <c r="AT26" i="2" a="1"/>
  <c r="AT26" i="2" s="1"/>
  <c r="AT22" i="2" a="1"/>
  <c r="AT22" i="2" s="1"/>
  <c r="BE22" i="2" a="1"/>
  <c r="BE22" i="2" s="1"/>
  <c r="AN32" i="2" a="1"/>
  <c r="AN32" i="2" s="1"/>
  <c r="AR30" i="2" a="1"/>
  <c r="AR30" i="2" s="1"/>
  <c r="AJ30" i="2" a="1"/>
  <c r="AJ30" i="2" s="1"/>
  <c r="AY31" i="2" a="1"/>
  <c r="AY31" i="2" s="1"/>
  <c r="AZ5" i="2" a="1"/>
  <c r="AZ5" i="2" s="1"/>
  <c r="AQ4" i="2" a="1"/>
  <c r="AQ4" i="2" s="1"/>
  <c r="AK2" i="2" a="1"/>
  <c r="AK2" i="2" s="1"/>
  <c r="BT2" i="2" s="1"/>
  <c r="AM11" i="2" a="1"/>
  <c r="AM11" i="2" s="1"/>
  <c r="BT11" i="2" s="1"/>
  <c r="AN10" i="2" a="1"/>
  <c r="AN10" i="2" s="1"/>
  <c r="AJ10" i="2" a="1"/>
  <c r="AJ10" i="2" s="1"/>
  <c r="BT10" i="2" s="1"/>
  <c r="AS9" i="2" a="1"/>
  <c r="AS9" i="2" s="1"/>
  <c r="BT9" i="2" s="1"/>
  <c r="BB12" i="2" a="1"/>
  <c r="BB12" i="2" s="1"/>
  <c r="BG9" i="2" a="1"/>
  <c r="BG9" i="2" s="1"/>
  <c r="AX15" i="2" a="1"/>
  <c r="AX15" i="2" s="1"/>
  <c r="BD18" i="2" a="1"/>
  <c r="BD18" i="2" s="1"/>
  <c r="BB19" i="2" a="1"/>
  <c r="BB19" i="2" s="1"/>
  <c r="AS26" i="2" a="1"/>
  <c r="AS26" i="2" s="1"/>
  <c r="BC23" i="2" a="1"/>
  <c r="BC23" i="2" s="1"/>
  <c r="AK33" i="2" a="1"/>
  <c r="AK33" i="2" s="1"/>
  <c r="AS29" i="2" a="1"/>
  <c r="AS29" i="2" s="1"/>
  <c r="AY34" i="2" a="1"/>
  <c r="AY34" i="2" s="1"/>
  <c r="BA6" i="2" a="1"/>
  <c r="BA6" i="2" s="1"/>
  <c r="AX4" i="2" a="1"/>
  <c r="AX4" i="2" s="1"/>
  <c r="AN3" i="2" a="1"/>
  <c r="AN3" i="2" s="1"/>
  <c r="BP3" i="2" s="1"/>
  <c r="AV12" i="2" a="1"/>
  <c r="AV12" i="2" s="1"/>
  <c r="AU11" i="2" a="1"/>
  <c r="AU11" i="2" s="1"/>
  <c r="BP11" i="2" s="1"/>
  <c r="AK15" i="2" a="1"/>
  <c r="AK15" i="2" s="1"/>
  <c r="BT15" i="2" s="1"/>
  <c r="AW16" i="2" a="1"/>
  <c r="AW16" i="2" s="1"/>
  <c r="BA19" i="2" a="1"/>
  <c r="BA19" i="2" s="1"/>
  <c r="BP19" i="2" s="1"/>
  <c r="BA20" i="2" a="1"/>
  <c r="BA20" i="2" s="1"/>
  <c r="AP27" i="2" a="1"/>
  <c r="AP27" i="2" s="1"/>
  <c r="BT27" i="2" s="1"/>
  <c r="AP25" i="2" a="1"/>
  <c r="AP25" i="2" s="1"/>
  <c r="AR26" i="2" a="1"/>
  <c r="AR26" i="2" s="1"/>
  <c r="AN31" i="2" a="1"/>
  <c r="AN31" i="2" s="1"/>
  <c r="BT31" i="2" s="1"/>
  <c r="BP10" i="2"/>
  <c r="BF5" i="2" a="1"/>
  <c r="BF5" i="2" s="1"/>
  <c r="AS2" i="2" a="1"/>
  <c r="AS2" i="2" s="1"/>
  <c r="AX9" i="2" a="1"/>
  <c r="AX9" i="2" s="1"/>
  <c r="AL20" i="2" a="1"/>
  <c r="AL20" i="2" s="1"/>
  <c r="BT20" i="2" s="1"/>
  <c r="AO25" i="2" a="1"/>
  <c r="AO25" i="2" s="1"/>
  <c r="AO23" i="2" a="1"/>
  <c r="AO23" i="2" s="1"/>
  <c r="AU23" i="2" a="1"/>
  <c r="AU23" i="2" s="1"/>
  <c r="AY23" i="2" a="1"/>
  <c r="AY23" i="2" s="1"/>
  <c r="AQ33" i="2" a="1"/>
  <c r="AQ33" i="2" s="1"/>
  <c r="AS32" i="2" a="1"/>
  <c r="AS32" i="2" s="1"/>
  <c r="AO30" i="2" a="1"/>
  <c r="AO30" i="2" s="1"/>
  <c r="AX30" i="2" a="1"/>
  <c r="AX30" i="2" s="1"/>
  <c r="BP27" i="2"/>
  <c r="BG6" i="2" a="1"/>
  <c r="BG6" i="2" s="1"/>
  <c r="AX6" i="2" a="1"/>
  <c r="AX6" i="2" s="1"/>
  <c r="AP6" i="2" a="1"/>
  <c r="AP6" i="2" s="1"/>
  <c r="BD4" i="2" a="1"/>
  <c r="BD4" i="2" s="1"/>
  <c r="AR2" i="2" a="1"/>
  <c r="AR2" i="2" s="1"/>
  <c r="AL4" i="2" a="1"/>
  <c r="AL4" i="2" s="1"/>
  <c r="BT4" i="2" s="1"/>
  <c r="AQ15" i="2" a="1"/>
  <c r="AQ15" i="2" s="1"/>
  <c r="AO22" i="2" a="1"/>
  <c r="AO22" i="2" s="1"/>
  <c r="AN25" i="2" a="1"/>
  <c r="AN25" i="2" s="1"/>
  <c r="AV25" i="2" a="1"/>
  <c r="AV25" i="2" s="1"/>
  <c r="BH22" i="2" a="1"/>
  <c r="BH22" i="2" s="1"/>
  <c r="AP33" i="2" a="1"/>
  <c r="AP33" i="2" s="1"/>
  <c r="AR32" i="2" a="1"/>
  <c r="AR32" i="2" s="1"/>
  <c r="AN30" i="2" a="1"/>
  <c r="AN30" i="2" s="1"/>
  <c r="AP29" i="2" a="1"/>
  <c r="AP29" i="2" s="1"/>
  <c r="AW30" i="2" a="1"/>
  <c r="AW30" i="2" s="1"/>
  <c r="BP22" i="2" l="1"/>
  <c r="BP23" i="2"/>
  <c r="BT23" i="2"/>
  <c r="BT17" i="2"/>
  <c r="BT3" i="2"/>
  <c r="BT32" i="2"/>
  <c r="BT29" i="2"/>
  <c r="BT30" i="2"/>
  <c r="BT26" i="2"/>
  <c r="BT34" i="2"/>
  <c r="BT33" i="2"/>
  <c r="BT25" i="2"/>
  <c r="BP8" i="2"/>
  <c r="BT22" i="2"/>
  <c r="BT8" i="2"/>
  <c r="BP5" i="2"/>
  <c r="BP6" i="2"/>
  <c r="BP15" i="2"/>
  <c r="BP32" i="2"/>
  <c r="BP1" i="2"/>
  <c r="BP2" i="2"/>
  <c r="BP18" i="2"/>
  <c r="BP29" i="2"/>
  <c r="BP33" i="2"/>
  <c r="BP9" i="2"/>
  <c r="BP26" i="2"/>
  <c r="BP20" i="2"/>
  <c r="BP31" i="2"/>
  <c r="BP30" i="2"/>
  <c r="BP16" i="2"/>
  <c r="BP12" i="2"/>
  <c r="BP25" i="2"/>
  <c r="BP4" i="2"/>
  <c r="BP34" i="2"/>
  <c r="BT1" i="2"/>
  <c r="BP13" i="2"/>
  <c r="BP2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<sst xmlns="http://schemas.openxmlformats.org/spreadsheetml/2006/main" count="726" uniqueCount="66">
  <si>
    <t>Char</t>
  </si>
  <si>
    <t>Dec Enc</t>
  </si>
  <si>
    <t>Hex</t>
  </si>
  <si>
    <t>Mem addr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</si>
  <si>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</si>
  <si>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</si>
  <si>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</si>
  <si>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</si>
  <si>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</si>
  <si>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</si>
  <si>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</si>
  <si>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</si>
  <si>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</si>
  <si>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</si>
  <si>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</si>
  <si>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</si>
  <si>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</si>
  <si>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</si>
  <si>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</si>
  <si>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</si>
  <si>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</si>
  <si>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</si>
  <si>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</si>
  <si>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</si>
  <si>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</si>
  <si>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</si>
  <si>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</si>
  <si>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</si>
  <si>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</si>
  <si>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</si>
  <si>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</si>
  <si>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</si>
  <si>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</si>
  <si>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</si>
  <si>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</si>
  <si>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</si>
  <si>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</si>
  <si>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</si>
  <si>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</si>
  <si>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</si>
  <si>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</si>
  <si>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</si>
  <si>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</si>
  <si>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</si>
  <si>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</si>
  <si>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</si>
  <si>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</si>
  <si>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</si>
  <si>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</si>
  <si>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</si>
  <si>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</si>
  <si>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</si>
  <si>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</si>
  <si>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</si>
  <si>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</si>
  <si>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</si>
  <si>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(space)</t>
  </si>
  <si>
    <t>,</t>
  </si>
  <si>
    <t>.</t>
  </si>
  <si>
    <t>(</t>
  </si>
  <si>
    <t>)</t>
  </si>
  <si>
    <t>Neighbor</t>
  </si>
  <si>
    <t>Union</t>
  </si>
  <si>
    <t>Stats</t>
  </si>
  <si>
    <t>Filter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</si>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</sst>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774A-857A-4450-893B-CC8475717112}">
  <dimension ref="A1:D62"/>
  <sheetViews>
    <sheetView zoomScale="52" workbookViewId="0">
      <selection activeCell="C26" sqref="C2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f>B2</f>
        <v>0</v>
      </c>
      <c r="D2">
        <v>1</v>
      </c>
    </row>
    <row r="3" spans="1:4" x14ac:dyDescent="0.3">
      <c r="A3" t="s">
        <v>5</v>
      </c>
      <c r="B3">
        <v>1</v>
      </c>
      <c r="C3">
        <f t="shared" ref="C3:C62" si="0">B3</f>
        <v>1</v>
      </c>
      <c r="D3">
        <f>D2+40</f>
        <v>41</v>
      </c>
    </row>
    <row r="4" spans="1:4" x14ac:dyDescent="0.3">
      <c r="A4" t="s">
        <v>6</v>
      </c>
      <c r="B4">
        <v>2</v>
      </c>
      <c r="C4">
        <f t="shared" si="0"/>
        <v>2</v>
      </c>
      <c r="D4">
        <f t="shared" ref="D4:D62" si="1">D3+40</f>
        <v>81</v>
      </c>
    </row>
    <row r="5" spans="1:4" x14ac:dyDescent="0.3">
      <c r="A5" t="s">
        <v>7</v>
      </c>
      <c r="B5">
        <v>3</v>
      </c>
      <c r="C5">
        <f t="shared" si="0"/>
        <v>3</v>
      </c>
      <c r="D5">
        <f t="shared" si="1"/>
        <v>121</v>
      </c>
    </row>
    <row r="6" spans="1:4" x14ac:dyDescent="0.3">
      <c r="A6" t="s">
        <v>8</v>
      </c>
      <c r="B6">
        <v>4</v>
      </c>
      <c r="C6">
        <f t="shared" si="0"/>
        <v>4</v>
      </c>
      <c r="D6">
        <f t="shared" si="1"/>
        <v>161</v>
      </c>
    </row>
    <row r="7" spans="1:4" x14ac:dyDescent="0.3">
      <c r="A7" t="s">
        <v>9</v>
      </c>
      <c r="B7">
        <v>5</v>
      </c>
      <c r="C7">
        <f t="shared" si="0"/>
        <v>5</v>
      </c>
      <c r="D7">
        <f t="shared" si="1"/>
        <v>201</v>
      </c>
    </row>
    <row r="8" spans="1:4" x14ac:dyDescent="0.3">
      <c r="A8" t="s">
        <v>10</v>
      </c>
      <c r="B8">
        <v>6</v>
      </c>
      <c r="C8">
        <f t="shared" si="0"/>
        <v>6</v>
      </c>
      <c r="D8">
        <f t="shared" si="1"/>
        <v>241</v>
      </c>
    </row>
    <row r="9" spans="1:4" x14ac:dyDescent="0.3">
      <c r="A9" t="s">
        <v>11</v>
      </c>
      <c r="B9">
        <v>7</v>
      </c>
      <c r="C9">
        <f t="shared" si="0"/>
        <v>7</v>
      </c>
      <c r="D9">
        <f t="shared" si="1"/>
        <v>281</v>
      </c>
    </row>
    <row r="10" spans="1:4" x14ac:dyDescent="0.3">
      <c r="A10" t="s">
        <v>12</v>
      </c>
      <c r="B10">
        <v>8</v>
      </c>
      <c r="C10">
        <f t="shared" si="0"/>
        <v>8</v>
      </c>
      <c r="D10">
        <f t="shared" si="1"/>
        <v>321</v>
      </c>
    </row>
    <row r="11" spans="1:4" x14ac:dyDescent="0.3">
      <c r="A11" t="s">
        <v>13</v>
      </c>
      <c r="B11">
        <v>9</v>
      </c>
      <c r="C11">
        <f t="shared" si="0"/>
        <v>9</v>
      </c>
      <c r="D11">
        <f t="shared" si="1"/>
        <v>361</v>
      </c>
    </row>
    <row r="12" spans="1:4" x14ac:dyDescent="0.3">
      <c r="A12" t="s">
        <v>14</v>
      </c>
      <c r="B12">
        <v>10</v>
      </c>
      <c r="C12">
        <f t="shared" si="0"/>
        <v>10</v>
      </c>
      <c r="D12">
        <f t="shared" si="1"/>
        <v>401</v>
      </c>
    </row>
    <row r="13" spans="1:4" x14ac:dyDescent="0.3">
      <c r="A13" t="s">
        <v>15</v>
      </c>
      <c r="B13">
        <v>11</v>
      </c>
      <c r="C13">
        <f t="shared" si="0"/>
        <v>11</v>
      </c>
      <c r="D13">
        <f t="shared" si="1"/>
        <v>441</v>
      </c>
    </row>
    <row r="14" spans="1:4" x14ac:dyDescent="0.3">
      <c r="A14" t="s">
        <v>16</v>
      </c>
      <c r="B14">
        <v>12</v>
      </c>
      <c r="C14">
        <f t="shared" si="0"/>
        <v>12</v>
      </c>
      <c r="D14">
        <f t="shared" si="1"/>
        <v>481</v>
      </c>
    </row>
    <row r="15" spans="1:4" x14ac:dyDescent="0.3">
      <c r="A15" t="s">
        <v>17</v>
      </c>
      <c r="B15">
        <v>13</v>
      </c>
      <c r="C15">
        <f t="shared" si="0"/>
        <v>13</v>
      </c>
      <c r="D15">
        <f t="shared" si="1"/>
        <v>521</v>
      </c>
    </row>
    <row r="16" spans="1:4" x14ac:dyDescent="0.3">
      <c r="A16" t="s">
        <v>18</v>
      </c>
      <c r="B16">
        <v>14</v>
      </c>
      <c r="C16">
        <f t="shared" si="0"/>
        <v>14</v>
      </c>
      <c r="D16">
        <f t="shared" si="1"/>
        <v>561</v>
      </c>
    </row>
    <row r="17" spans="1:4" x14ac:dyDescent="0.3">
      <c r="A17" t="s">
        <v>19</v>
      </c>
      <c r="B17">
        <v>15</v>
      </c>
      <c r="C17">
        <f t="shared" si="0"/>
        <v>15</v>
      </c>
      <c r="D17">
        <f t="shared" si="1"/>
        <v>601</v>
      </c>
    </row>
    <row r="18" spans="1:4" x14ac:dyDescent="0.3">
      <c r="A18" t="s">
        <v>20</v>
      </c>
      <c r="B18">
        <v>16</v>
      </c>
      <c r="C18">
        <f t="shared" si="0"/>
        <v>16</v>
      </c>
      <c r="D18">
        <f t="shared" si="1"/>
        <v>641</v>
      </c>
    </row>
    <row r="19" spans="1:4" x14ac:dyDescent="0.3">
      <c r="A19" t="s">
        <v>21</v>
      </c>
      <c r="B19">
        <v>17</v>
      </c>
      <c r="C19">
        <f t="shared" si="0"/>
        <v>17</v>
      </c>
      <c r="D19">
        <f t="shared" si="1"/>
        <v>681</v>
      </c>
    </row>
    <row r="20" spans="1:4" x14ac:dyDescent="0.3">
      <c r="A20" t="s">
        <v>22</v>
      </c>
      <c r="B20">
        <v>18</v>
      </c>
      <c r="C20">
        <f t="shared" si="0"/>
        <v>18</v>
      </c>
      <c r="D20">
        <f t="shared" si="1"/>
        <v>721</v>
      </c>
    </row>
    <row r="21" spans="1:4" x14ac:dyDescent="0.3">
      <c r="A21" t="s">
        <v>23</v>
      </c>
      <c r="B21">
        <v>19</v>
      </c>
      <c r="C21">
        <f t="shared" si="0"/>
        <v>19</v>
      </c>
      <c r="D21">
        <f t="shared" si="1"/>
        <v>761</v>
      </c>
    </row>
    <row r="22" spans="1:4" x14ac:dyDescent="0.3">
      <c r="A22" t="s">
        <v>24</v>
      </c>
      <c r="B22">
        <v>20</v>
      </c>
      <c r="C22">
        <f t="shared" si="0"/>
        <v>20</v>
      </c>
      <c r="D22">
        <f t="shared" si="1"/>
        <v>801</v>
      </c>
    </row>
    <row r="23" spans="1:4" x14ac:dyDescent="0.3">
      <c r="A23" t="s">
        <v>25</v>
      </c>
      <c r="B23">
        <v>21</v>
      </c>
      <c r="C23">
        <f t="shared" si="0"/>
        <v>21</v>
      </c>
      <c r="D23">
        <f t="shared" si="1"/>
        <v>841</v>
      </c>
    </row>
    <row r="24" spans="1:4" x14ac:dyDescent="0.3">
      <c r="A24" t="s">
        <v>26</v>
      </c>
      <c r="B24">
        <v>22</v>
      </c>
      <c r="C24">
        <f t="shared" si="0"/>
        <v>22</v>
      </c>
      <c r="D24">
        <f t="shared" si="1"/>
        <v>881</v>
      </c>
    </row>
    <row r="25" spans="1:4" x14ac:dyDescent="0.3">
      <c r="A25" t="s">
        <v>27</v>
      </c>
      <c r="B25">
        <v>23</v>
      </c>
      <c r="C25">
        <f t="shared" si="0"/>
        <v>23</v>
      </c>
      <c r="D25">
        <f t="shared" si="1"/>
        <v>921</v>
      </c>
    </row>
    <row r="26" spans="1:4" x14ac:dyDescent="0.3">
      <c r="A26" t="s">
        <v>28</v>
      </c>
      <c r="B26">
        <v>24</v>
      </c>
      <c r="C26">
        <f t="shared" si="0"/>
        <v>24</v>
      </c>
      <c r="D26">
        <f t="shared" si="1"/>
        <v>961</v>
      </c>
    </row>
    <row r="27" spans="1:4" x14ac:dyDescent="0.3">
      <c r="A27" t="s">
        <v>29</v>
      </c>
      <c r="B27">
        <v>25</v>
      </c>
      <c r="C27">
        <f t="shared" si="0"/>
        <v>25</v>
      </c>
      <c r="D27">
        <f t="shared" si="1"/>
        <v>1001</v>
      </c>
    </row>
    <row r="28" spans="1:4" x14ac:dyDescent="0.3">
      <c r="A28" t="s">
        <v>30</v>
      </c>
      <c r="B28">
        <v>26</v>
      </c>
      <c r="C28">
        <f t="shared" si="0"/>
        <v>26</v>
      </c>
      <c r="D28">
        <f t="shared" si="1"/>
        <v>1041</v>
      </c>
    </row>
    <row r="29" spans="1:4" x14ac:dyDescent="0.3">
      <c r="A29" t="s">
        <v>31</v>
      </c>
      <c r="B29">
        <v>27</v>
      </c>
      <c r="C29">
        <f t="shared" si="0"/>
        <v>27</v>
      </c>
      <c r="D29">
        <f t="shared" si="1"/>
        <v>1081</v>
      </c>
    </row>
    <row r="30" spans="1:4" x14ac:dyDescent="0.3">
      <c r="A30" t="s">
        <v>32</v>
      </c>
      <c r="B30">
        <v>28</v>
      </c>
      <c r="C30">
        <f t="shared" si="0"/>
        <v>28</v>
      </c>
      <c r="D30">
        <f t="shared" si="1"/>
        <v>1121</v>
      </c>
    </row>
    <row r="31" spans="1:4" x14ac:dyDescent="0.3">
      <c r="A31" t="s">
        <v>33</v>
      </c>
      <c r="B31">
        <v>29</v>
      </c>
      <c r="C31">
        <f t="shared" si="0"/>
        <v>29</v>
      </c>
      <c r="D31">
        <f t="shared" si="1"/>
        <v>1161</v>
      </c>
    </row>
    <row r="32" spans="1:4" x14ac:dyDescent="0.3">
      <c r="A32" t="s">
        <v>34</v>
      </c>
      <c r="B32">
        <v>30</v>
      </c>
      <c r="C32">
        <f t="shared" si="0"/>
        <v>30</v>
      </c>
      <c r="D32">
        <f t="shared" si="1"/>
        <v>1201</v>
      </c>
    </row>
    <row r="33" spans="1:4" x14ac:dyDescent="0.3">
      <c r="A33" t="s">
        <v>35</v>
      </c>
      <c r="B33">
        <v>31</v>
      </c>
      <c r="C33">
        <f t="shared" si="0"/>
        <v>31</v>
      </c>
      <c r="D33">
        <f t="shared" si="1"/>
        <v>1241</v>
      </c>
    </row>
    <row r="34" spans="1:4" x14ac:dyDescent="0.3">
      <c r="A34" t="s">
        <v>36</v>
      </c>
      <c r="B34">
        <v>32</v>
      </c>
      <c r="C34">
        <f t="shared" si="0"/>
        <v>32</v>
      </c>
      <c r="D34">
        <f t="shared" si="1"/>
        <v>1281</v>
      </c>
    </row>
    <row r="35" spans="1:4" x14ac:dyDescent="0.3">
      <c r="A35" t="s">
        <v>37</v>
      </c>
      <c r="B35">
        <v>33</v>
      </c>
      <c r="C35">
        <f t="shared" si="0"/>
        <v>33</v>
      </c>
      <c r="D35">
        <f t="shared" si="1"/>
        <v>1321</v>
      </c>
    </row>
    <row r="36" spans="1:4" x14ac:dyDescent="0.3">
      <c r="A36" t="s">
        <v>38</v>
      </c>
      <c r="B36">
        <v>34</v>
      </c>
      <c r="C36">
        <f t="shared" si="0"/>
        <v>34</v>
      </c>
      <c r="D36">
        <f t="shared" si="1"/>
        <v>1361</v>
      </c>
    </row>
    <row r="37" spans="1:4" x14ac:dyDescent="0.3">
      <c r="A37" t="s">
        <v>39</v>
      </c>
      <c r="B37">
        <v>35</v>
      </c>
      <c r="C37">
        <f t="shared" si="0"/>
        <v>35</v>
      </c>
      <c r="D37">
        <f t="shared" si="1"/>
        <v>1401</v>
      </c>
    </row>
    <row r="38" spans="1:4" x14ac:dyDescent="0.3">
      <c r="A38" t="s">
        <v>40</v>
      </c>
      <c r="B38">
        <v>36</v>
      </c>
      <c r="C38">
        <f t="shared" si="0"/>
        <v>36</v>
      </c>
      <c r="D38">
        <f t="shared" si="1"/>
        <v>1441</v>
      </c>
    </row>
    <row r="39" spans="1:4" x14ac:dyDescent="0.3">
      <c r="A39" t="s">
        <v>41</v>
      </c>
      <c r="B39">
        <v>37</v>
      </c>
      <c r="C39">
        <f t="shared" si="0"/>
        <v>37</v>
      </c>
      <c r="D39">
        <f t="shared" si="1"/>
        <v>1481</v>
      </c>
    </row>
    <row r="40" spans="1:4" x14ac:dyDescent="0.3">
      <c r="A40" t="s">
        <v>42</v>
      </c>
      <c r="B40">
        <v>38</v>
      </c>
      <c r="C40">
        <f t="shared" si="0"/>
        <v>38</v>
      </c>
      <c r="D40">
        <f t="shared" si="1"/>
        <v>1521</v>
      </c>
    </row>
    <row r="41" spans="1:4" x14ac:dyDescent="0.3">
      <c r="A41" t="s">
        <v>43</v>
      </c>
      <c r="B41">
        <v>39</v>
      </c>
      <c r="C41">
        <f t="shared" si="0"/>
        <v>39</v>
      </c>
      <c r="D41">
        <f t="shared" si="1"/>
        <v>1561</v>
      </c>
    </row>
    <row r="42" spans="1:4" x14ac:dyDescent="0.3">
      <c r="A42" t="s">
        <v>44</v>
      </c>
      <c r="B42">
        <v>40</v>
      </c>
      <c r="C42">
        <f t="shared" si="0"/>
        <v>40</v>
      </c>
      <c r="D42">
        <f t="shared" si="1"/>
        <v>1601</v>
      </c>
    </row>
    <row r="43" spans="1:4" x14ac:dyDescent="0.3">
      <c r="A43" t="s">
        <v>45</v>
      </c>
      <c r="B43">
        <v>41</v>
      </c>
      <c r="C43">
        <f t="shared" si="0"/>
        <v>41</v>
      </c>
      <c r="D43">
        <f t="shared" si="1"/>
        <v>1641</v>
      </c>
    </row>
    <row r="44" spans="1:4" x14ac:dyDescent="0.3">
      <c r="A44" t="s">
        <v>46</v>
      </c>
      <c r="B44">
        <v>42</v>
      </c>
      <c r="C44">
        <f t="shared" si="0"/>
        <v>42</v>
      </c>
      <c r="D44">
        <f t="shared" si="1"/>
        <v>1681</v>
      </c>
    </row>
    <row r="45" spans="1:4" x14ac:dyDescent="0.3">
      <c r="A45" t="s">
        <v>47</v>
      </c>
      <c r="B45">
        <v>43</v>
      </c>
      <c r="C45">
        <f t="shared" si="0"/>
        <v>43</v>
      </c>
      <c r="D45">
        <f t="shared" si="1"/>
        <v>1721</v>
      </c>
    </row>
    <row r="46" spans="1:4" x14ac:dyDescent="0.3">
      <c r="A46" t="s">
        <v>48</v>
      </c>
      <c r="B46">
        <v>44</v>
      </c>
      <c r="C46">
        <f t="shared" si="0"/>
        <v>44</v>
      </c>
      <c r="D46">
        <f t="shared" si="1"/>
        <v>1761</v>
      </c>
    </row>
    <row r="47" spans="1:4" x14ac:dyDescent="0.3">
      <c r="A47" t="s">
        <v>49</v>
      </c>
      <c r="B47">
        <v>45</v>
      </c>
      <c r="C47">
        <f t="shared" si="0"/>
        <v>45</v>
      </c>
      <c r="D47">
        <f t="shared" si="1"/>
        <v>1801</v>
      </c>
    </row>
    <row r="48" spans="1:4" x14ac:dyDescent="0.3">
      <c r="A48" t="s">
        <v>50</v>
      </c>
      <c r="B48">
        <v>46</v>
      </c>
      <c r="C48">
        <f t="shared" si="0"/>
        <v>46</v>
      </c>
      <c r="D48">
        <f t="shared" si="1"/>
        <v>1841</v>
      </c>
    </row>
    <row r="49" spans="1:4" x14ac:dyDescent="0.3">
      <c r="A49" t="s">
        <v>51</v>
      </c>
      <c r="B49">
        <v>47</v>
      </c>
      <c r="C49">
        <f t="shared" si="0"/>
        <v>47</v>
      </c>
      <c r="D49">
        <f t="shared" si="1"/>
        <v>1881</v>
      </c>
    </row>
    <row r="50" spans="1:4" x14ac:dyDescent="0.3">
      <c r="A50" t="s">
        <v>52</v>
      </c>
      <c r="B50">
        <v>48</v>
      </c>
      <c r="C50">
        <f t="shared" si="0"/>
        <v>48</v>
      </c>
      <c r="D50">
        <f t="shared" si="1"/>
        <v>1921</v>
      </c>
    </row>
    <row r="51" spans="1:4" x14ac:dyDescent="0.3">
      <c r="A51" t="s">
        <v>53</v>
      </c>
      <c r="B51">
        <v>49</v>
      </c>
      <c r="C51">
        <f t="shared" si="0"/>
        <v>49</v>
      </c>
      <c r="D51">
        <f t="shared" si="1"/>
        <v>1961</v>
      </c>
    </row>
    <row r="52" spans="1:4" x14ac:dyDescent="0.3">
      <c r="A52" t="s">
        <v>54</v>
      </c>
      <c r="B52">
        <v>50</v>
      </c>
      <c r="C52">
        <f t="shared" si="0"/>
        <v>50</v>
      </c>
      <c r="D52">
        <f t="shared" si="1"/>
        <v>2001</v>
      </c>
    </row>
    <row r="53" spans="1:4" x14ac:dyDescent="0.3">
      <c r="A53" t="s">
        <v>55</v>
      </c>
      <c r="B53">
        <v>51</v>
      </c>
      <c r="C53">
        <f t="shared" si="0"/>
        <v>51</v>
      </c>
      <c r="D53">
        <f t="shared" si="1"/>
        <v>2041</v>
      </c>
    </row>
    <row r="54" spans="1:4" x14ac:dyDescent="0.3">
      <c r="A54" t="s">
        <v>56</v>
      </c>
      <c r="B54">
        <v>52</v>
      </c>
      <c r="C54">
        <f t="shared" si="0"/>
        <v>52</v>
      </c>
      <c r="D54">
        <f t="shared" si="1"/>
        <v>2081</v>
      </c>
    </row>
    <row r="55" spans="1:4" x14ac:dyDescent="0.3">
      <c r="A55" t="s">
        <v>57</v>
      </c>
      <c r="B55">
        <v>53</v>
      </c>
      <c r="C55">
        <f t="shared" si="0"/>
        <v>53</v>
      </c>
      <c r="D55">
        <f t="shared" si="1"/>
        <v>2121</v>
      </c>
    </row>
    <row r="56" spans="1:4" x14ac:dyDescent="0.3">
      <c r="A56" t="s">
        <v>58</v>
      </c>
      <c r="B56">
        <v>54</v>
      </c>
      <c r="C56">
        <f t="shared" si="0"/>
        <v>54</v>
      </c>
      <c r="D56">
        <f t="shared" si="1"/>
        <v>2161</v>
      </c>
    </row>
    <row r="57" spans="1:4" x14ac:dyDescent="0.3">
      <c r="A57" t="s">
        <v>59</v>
      </c>
      <c r="B57">
        <v>55</v>
      </c>
      <c r="C57">
        <f t="shared" si="0"/>
        <v>55</v>
      </c>
      <c r="D57">
        <f t="shared" si="1"/>
        <v>2201</v>
      </c>
    </row>
    <row r="58" spans="1:4" x14ac:dyDescent="0.3">
      <c r="A58" t="s">
        <v>60</v>
      </c>
      <c r="B58">
        <v>56</v>
      </c>
      <c r="C58">
        <f t="shared" si="0"/>
        <v>56</v>
      </c>
      <c r="D58">
        <f t="shared" si="1"/>
        <v>2241</v>
      </c>
    </row>
    <row r="59" spans="1:4" x14ac:dyDescent="0.3">
      <c r="A59">
        <v>1</v>
      </c>
      <c r="B59">
        <v>57</v>
      </c>
      <c r="C59">
        <f t="shared" si="0"/>
        <v>57</v>
      </c>
      <c r="D59">
        <f t="shared" si="1"/>
        <v>2281</v>
      </c>
    </row>
    <row r="60" spans="1:4" x14ac:dyDescent="0.3">
      <c r="A60">
        <v>2</v>
      </c>
      <c r="B60">
        <v>58</v>
      </c>
      <c r="C60">
        <f t="shared" si="0"/>
        <v>58</v>
      </c>
      <c r="D60">
        <f t="shared" si="1"/>
        <v>2321</v>
      </c>
    </row>
    <row r="61" spans="1:4" x14ac:dyDescent="0.3">
      <c r="A61">
        <v>3</v>
      </c>
      <c r="B61">
        <v>59</v>
      </c>
      <c r="C61">
        <f t="shared" si="0"/>
        <v>59</v>
      </c>
      <c r="D61">
        <f t="shared" si="1"/>
        <v>2361</v>
      </c>
    </row>
    <row r="62" spans="1:4" x14ac:dyDescent="0.3">
      <c r="A62">
        <v>4</v>
      </c>
      <c r="B62">
        <v>60</v>
      </c>
      <c r="C62">
        <f t="shared" si="0"/>
        <v>60</v>
      </c>
      <c r="D62">
        <f t="shared" si="1"/>
        <v>2401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E1B8-8CB2-44DB-A4DF-67661E1D3283}">
  <dimension ref="A1:BT34"/>
  <sheetViews>
    <sheetView tabSelected="1" topLeftCell="BI15" zoomScale="139" zoomScaleNormal="100" workbookViewId="0">
      <selection activeCell="BT24" sqref="BT24"/>
    </sheetView>
  </sheetViews>
  <sheetFormatPr defaultRowHeight="14.4" x14ac:dyDescent="0.3"/>
  <sheetData>
    <row r="1" spans="1:72" x14ac:dyDescent="0.3">
      <c r="A1" t="s">
        <v>8</v>
      </c>
      <c r="B1" t="s">
        <v>30</v>
      </c>
      <c r="C1" t="s">
        <v>32</v>
      </c>
      <c r="D1" t="s">
        <v>37</v>
      </c>
      <c r="E1" t="s">
        <v>56</v>
      </c>
      <c r="F1" t="s">
        <v>52</v>
      </c>
      <c r="G1" t="s">
        <v>37</v>
      </c>
      <c r="H1" t="s">
        <v>38</v>
      </c>
      <c r="I1" t="s">
        <v>49</v>
      </c>
      <c r="J1" t="s">
        <v>34</v>
      </c>
      <c r="K1" t="s">
        <v>56</v>
      </c>
      <c r="L1" t="s">
        <v>45</v>
      </c>
      <c r="M1" t="s">
        <v>38</v>
      </c>
      <c r="N1" t="s">
        <v>53</v>
      </c>
      <c r="O1" t="s">
        <v>34</v>
      </c>
      <c r="P1" t="s">
        <v>41</v>
      </c>
      <c r="Q1" t="s">
        <v>59</v>
      </c>
      <c r="R1">
        <v>1</v>
      </c>
      <c r="S1" t="s">
        <v>60</v>
      </c>
      <c r="T1" t="s">
        <v>56</v>
      </c>
      <c r="U1" t="s">
        <v>38</v>
      </c>
      <c r="V1" t="s">
        <v>48</v>
      </c>
      <c r="W1" t="s">
        <v>56</v>
      </c>
      <c r="X1" t="s">
        <v>30</v>
      </c>
      <c r="Y1" t="s">
        <v>56</v>
      </c>
      <c r="Z1" t="s">
        <v>43</v>
      </c>
      <c r="AA1" t="s">
        <v>44</v>
      </c>
      <c r="AB1" t="s">
        <v>33</v>
      </c>
      <c r="AC1" t="s">
        <v>34</v>
      </c>
      <c r="AH1">
        <f>COUNTA(A1:AG1)</f>
        <v>29</v>
      </c>
      <c r="AI1" cm="1">
        <f t="array" ref="AI1">VLOOKUP(TRUE, CHOOSE({1,2}, EXACT(A1, 'Letter Encoding'!$A:$A), 'Letter Encoding'!$C:$C), 2, FALSE)</f>
        <v>4</v>
      </c>
      <c r="AJ1" cm="1">
        <f t="array" ref="AJ1">VLOOKUP(TRUE, CHOOSE({1,2}, EXACT(B1, 'Letter Encoding'!$A:$A), 'Letter Encoding'!$C:$C), 2, FALSE)</f>
        <v>26</v>
      </c>
      <c r="AK1" cm="1">
        <f t="array" ref="AK1">VLOOKUP(TRUE, CHOOSE({1,2}, EXACT(C1, 'Letter Encoding'!$A:$A), 'Letter Encoding'!$C:$C), 2, FALSE)</f>
        <v>28</v>
      </c>
      <c r="AL1" cm="1">
        <f t="array" ref="AL1">VLOOKUP(TRUE, CHOOSE({1,2}, EXACT(D1, 'Letter Encoding'!$A:$A), 'Letter Encoding'!$C:$C), 2, FALSE)</f>
        <v>33</v>
      </c>
      <c r="AM1" cm="1">
        <f t="array" ref="AM1">VLOOKUP(TRUE, CHOOSE({1,2}, EXACT(E1, 'Letter Encoding'!$A:$A), 'Letter Encoding'!$C:$C), 2, FALSE)</f>
        <v>52</v>
      </c>
      <c r="AN1" cm="1">
        <f t="array" ref="AN1">VLOOKUP(TRUE, CHOOSE({1,2}, EXACT(F1, 'Letter Encoding'!$A:$A), 'Letter Encoding'!$C:$C), 2, FALSE)</f>
        <v>48</v>
      </c>
      <c r="AO1" cm="1">
        <f t="array" ref="AO1">VLOOKUP(TRUE, CHOOSE({1,2}, EXACT(G1, 'Letter Encoding'!$A:$A), 'Letter Encoding'!$C:$C), 2, FALSE)</f>
        <v>33</v>
      </c>
      <c r="AP1" cm="1">
        <f t="array" ref="AP1">VLOOKUP(TRUE, CHOOSE({1,2}, EXACT(H1, 'Letter Encoding'!$A:$A), 'Letter Encoding'!$C:$C), 2, FALSE)</f>
        <v>34</v>
      </c>
      <c r="AQ1" cm="1">
        <f t="array" ref="AQ1">VLOOKUP(TRUE, CHOOSE({1,2}, EXACT(I1, 'Letter Encoding'!$A:$A), 'Letter Encoding'!$C:$C), 2, FALSE)</f>
        <v>45</v>
      </c>
      <c r="AR1" cm="1">
        <f t="array" ref="AR1">VLOOKUP(TRUE, CHOOSE({1,2}, EXACT(J1, 'Letter Encoding'!$A:$A), 'Letter Encoding'!$C:$C), 2, FALSE)</f>
        <v>30</v>
      </c>
      <c r="AS1" cm="1">
        <f t="array" ref="AS1">VLOOKUP(TRUE, CHOOSE({1,2}, EXACT(K1, 'Letter Encoding'!$A:$A), 'Letter Encoding'!$C:$C), 2, FALSE)</f>
        <v>52</v>
      </c>
      <c r="AT1" cm="1">
        <f t="array" ref="AT1">VLOOKUP(TRUE, CHOOSE({1,2}, EXACT(L1, 'Letter Encoding'!$A:$A), 'Letter Encoding'!$C:$C), 2, FALSE)</f>
        <v>41</v>
      </c>
      <c r="AU1" cm="1">
        <f t="array" ref="AU1">VLOOKUP(TRUE, CHOOSE({1,2}, EXACT(M1, 'Letter Encoding'!$A:$A), 'Letter Encoding'!$C:$C), 2, FALSE)</f>
        <v>34</v>
      </c>
      <c r="AV1" cm="1">
        <f t="array" ref="AV1">VLOOKUP(TRUE, CHOOSE({1,2}, EXACT(N1, 'Letter Encoding'!$A:$A), 'Letter Encoding'!$C:$C), 2, FALSE)</f>
        <v>49</v>
      </c>
      <c r="AW1" cm="1">
        <f t="array" ref="AW1">VLOOKUP(TRUE, CHOOSE({1,2}, EXACT(O1, 'Letter Encoding'!$A:$A), 'Letter Encoding'!$C:$C), 2, FALSE)</f>
        <v>30</v>
      </c>
      <c r="AX1" cm="1">
        <f t="array" ref="AX1">VLOOKUP(TRUE, CHOOSE({1,2}, EXACT(P1, 'Letter Encoding'!$A:$A), 'Letter Encoding'!$C:$C), 2, FALSE)</f>
        <v>37</v>
      </c>
      <c r="AY1" cm="1">
        <f t="array" ref="AY1">VLOOKUP(TRUE, CHOOSE({1,2}, EXACT(Q1, 'Letter Encoding'!$A:$A), 'Letter Encoding'!$C:$C), 2, FALSE)</f>
        <v>55</v>
      </c>
      <c r="AZ1" cm="1">
        <f t="array" ref="AZ1">VLOOKUP(TRUE, CHOOSE({1,2}, EXACT(R1, 'Letter Encoding'!$A:$A), 'Letter Encoding'!$C:$C), 2, FALSE)</f>
        <v>57</v>
      </c>
      <c r="BA1" cm="1">
        <f t="array" ref="BA1">VLOOKUP(TRUE, CHOOSE({1,2}, EXACT(S1, 'Letter Encoding'!$A:$A), 'Letter Encoding'!$C:$C), 2, FALSE)</f>
        <v>56</v>
      </c>
      <c r="BB1" cm="1">
        <f t="array" ref="BB1">VLOOKUP(TRUE, CHOOSE({1,2}, EXACT(T1, 'Letter Encoding'!$A:$A), 'Letter Encoding'!$C:$C), 2, FALSE)</f>
        <v>52</v>
      </c>
      <c r="BC1" cm="1">
        <f t="array" ref="BC1">VLOOKUP(TRUE, CHOOSE({1,2}, EXACT(U1, 'Letter Encoding'!$A:$A), 'Letter Encoding'!$C:$C), 2, FALSE)</f>
        <v>34</v>
      </c>
      <c r="BD1" cm="1">
        <f t="array" ref="BD1">VLOOKUP(TRUE, CHOOSE({1,2}, EXACT(V1, 'Letter Encoding'!$A:$A), 'Letter Encoding'!$C:$C), 2, FALSE)</f>
        <v>44</v>
      </c>
      <c r="BE1" cm="1">
        <f t="array" ref="BE1">VLOOKUP(TRUE, CHOOSE({1,2}, EXACT(W1, 'Letter Encoding'!$A:$A), 'Letter Encoding'!$C:$C), 2, FALSE)</f>
        <v>52</v>
      </c>
      <c r="BF1" cm="1">
        <f t="array" ref="BF1">VLOOKUP(TRUE, CHOOSE({1,2}, EXACT(X1, 'Letter Encoding'!$A:$A), 'Letter Encoding'!$C:$C), 2, FALSE)</f>
        <v>26</v>
      </c>
      <c r="BG1" cm="1">
        <f t="array" ref="BG1">VLOOKUP(TRUE, CHOOSE({1,2}, EXACT(Y1, 'Letter Encoding'!$A:$A), 'Letter Encoding'!$C:$C), 2, FALSE)</f>
        <v>52</v>
      </c>
      <c r="BH1" cm="1">
        <f t="array" ref="BH1">VLOOKUP(TRUE, CHOOSE({1,2}, EXACT(Z1, 'Letter Encoding'!$A:$A), 'Letter Encoding'!$C:$C), 2, FALSE)</f>
        <v>39</v>
      </c>
      <c r="BI1" cm="1">
        <f t="array" ref="BI1">VLOOKUP(TRUE, CHOOSE({1,2}, EXACT(AA1, 'Letter Encoding'!$A:$A), 'Letter Encoding'!$C:$C), 2, FALSE)</f>
        <v>40</v>
      </c>
      <c r="BJ1" cm="1">
        <f t="array" ref="BJ1">VLOOKUP(TRUE, CHOOSE({1,2}, EXACT(AB1, 'Letter Encoding'!$A:$A), 'Letter Encoding'!$C:$C), 2, FALSE)</f>
        <v>29</v>
      </c>
      <c r="BK1" cm="1">
        <f t="array" ref="BK1">VLOOKUP(TRUE, CHOOSE({1,2}, EXACT(AC1, 'Letter Encoding'!$A:$A), 'Letter Encoding'!$C:$C), 2, FALSE)</f>
        <v>30</v>
      </c>
      <c r="BP1">
        <f>COUNTA(AI1:BN1)</f>
        <v>29</v>
      </c>
      <c r="BQ1" t="s">
        <v>61</v>
      </c>
      <c r="BR1">
        <v>1</v>
      </c>
      <c r="BS1">
        <v>1</v>
      </c>
      <c r="BT1" t="str">
        <f t="shared" ref="BT1:BT34" si="0">_xlfn.TEXTJOIN(", ",TRUE,AI1:BO1)</f>
        <v>4, 26, 28, 33, 52, 48, 33, 34, 45, 30, 52, 41, 34, 49, 30, 37, 55, 57, 56, 52, 34, 44, 52, 26, 52, 39, 40, 29, 30</v>
      </c>
    </row>
    <row r="2" spans="1:72" x14ac:dyDescent="0.3">
      <c r="A2" t="s">
        <v>38</v>
      </c>
      <c r="B2" t="s">
        <v>43</v>
      </c>
      <c r="C2" t="s">
        <v>56</v>
      </c>
      <c r="D2" t="s">
        <v>30</v>
      </c>
      <c r="E2" t="s">
        <v>56</v>
      </c>
      <c r="F2" t="s">
        <v>36</v>
      </c>
      <c r="G2" t="s">
        <v>47</v>
      </c>
      <c r="H2" t="s">
        <v>38</v>
      </c>
      <c r="I2" t="s">
        <v>33</v>
      </c>
      <c r="J2" t="s">
        <v>57</v>
      </c>
      <c r="K2" t="s">
        <v>56</v>
      </c>
      <c r="L2" t="s">
        <v>43</v>
      </c>
      <c r="M2" t="s">
        <v>34</v>
      </c>
      <c r="N2" t="s">
        <v>38</v>
      </c>
      <c r="O2" t="s">
        <v>36</v>
      </c>
      <c r="P2" t="s">
        <v>37</v>
      </c>
      <c r="Q2" t="s">
        <v>31</v>
      </c>
      <c r="R2" t="s">
        <v>44</v>
      </c>
      <c r="S2" t="s">
        <v>50</v>
      </c>
      <c r="T2" t="s">
        <v>47</v>
      </c>
      <c r="U2" t="s">
        <v>48</v>
      </c>
      <c r="V2" t="s">
        <v>56</v>
      </c>
      <c r="W2" t="s">
        <v>35</v>
      </c>
      <c r="X2" t="s">
        <v>44</v>
      </c>
      <c r="Y2" t="s">
        <v>47</v>
      </c>
      <c r="Z2" t="s">
        <v>42</v>
      </c>
      <c r="AH2">
        <f t="shared" ref="AH2:AH34" si="1">COUNTA(A2:AG2)</f>
        <v>26</v>
      </c>
      <c r="AI2" cm="1">
        <f t="array" ref="AI2">VLOOKUP(TRUE, CHOOSE({1,2}, EXACT(A2, 'Letter Encoding'!$A:$A), 'Letter Encoding'!$C:$C), 2, FALSE)</f>
        <v>34</v>
      </c>
      <c r="AJ2" cm="1">
        <f t="array" ref="AJ2">VLOOKUP(TRUE, CHOOSE({1,2}, EXACT(B2, 'Letter Encoding'!$A:$A), 'Letter Encoding'!$C:$C), 2, FALSE)</f>
        <v>39</v>
      </c>
      <c r="AK2" cm="1">
        <f t="array" ref="AK2">VLOOKUP(TRUE, CHOOSE({1,2}, EXACT(C2, 'Letter Encoding'!$A:$A), 'Letter Encoding'!$C:$C), 2, FALSE)</f>
        <v>52</v>
      </c>
      <c r="AL2" cm="1">
        <f t="array" ref="AL2">VLOOKUP(TRUE, CHOOSE({1,2}, EXACT(D2, 'Letter Encoding'!$A:$A), 'Letter Encoding'!$C:$C), 2, FALSE)</f>
        <v>26</v>
      </c>
      <c r="AM2" cm="1">
        <f t="array" ref="AM2">VLOOKUP(TRUE, CHOOSE({1,2}, EXACT(E2, 'Letter Encoding'!$A:$A), 'Letter Encoding'!$C:$C), 2, FALSE)</f>
        <v>52</v>
      </c>
      <c r="AN2" cm="1">
        <f t="array" ref="AN2">VLOOKUP(TRUE, CHOOSE({1,2}, EXACT(F2, 'Letter Encoding'!$A:$A), 'Letter Encoding'!$C:$C), 2, FALSE)</f>
        <v>32</v>
      </c>
      <c r="AO2" cm="1">
        <f t="array" ref="AO2">VLOOKUP(TRUE, CHOOSE({1,2}, EXACT(G2, 'Letter Encoding'!$A:$A), 'Letter Encoding'!$C:$C), 2, FALSE)</f>
        <v>43</v>
      </c>
      <c r="AP2" cm="1">
        <f t="array" ref="AP2">VLOOKUP(TRUE, CHOOSE({1,2}, EXACT(H2, 'Letter Encoding'!$A:$A), 'Letter Encoding'!$C:$C), 2, FALSE)</f>
        <v>34</v>
      </c>
      <c r="AQ2" cm="1">
        <f t="array" ref="AQ2">VLOOKUP(TRUE, CHOOSE({1,2}, EXACT(I2, 'Letter Encoding'!$A:$A), 'Letter Encoding'!$C:$C), 2, FALSE)</f>
        <v>29</v>
      </c>
      <c r="AR2" cm="1">
        <f t="array" ref="AR2">VLOOKUP(TRUE, CHOOSE({1,2}, EXACT(J2, 'Letter Encoding'!$A:$A), 'Letter Encoding'!$C:$C), 2, FALSE)</f>
        <v>53</v>
      </c>
      <c r="AS2" cm="1">
        <f t="array" ref="AS2">VLOOKUP(TRUE, CHOOSE({1,2}, EXACT(K2, 'Letter Encoding'!$A:$A), 'Letter Encoding'!$C:$C), 2, FALSE)</f>
        <v>52</v>
      </c>
      <c r="AT2" cm="1">
        <f t="array" ref="AT2">VLOOKUP(TRUE, CHOOSE({1,2}, EXACT(L2, 'Letter Encoding'!$A:$A), 'Letter Encoding'!$C:$C), 2, FALSE)</f>
        <v>39</v>
      </c>
      <c r="AU2" cm="1">
        <f t="array" ref="AU2">VLOOKUP(TRUE, CHOOSE({1,2}, EXACT(M2, 'Letter Encoding'!$A:$A), 'Letter Encoding'!$C:$C), 2, FALSE)</f>
        <v>30</v>
      </c>
      <c r="AV2" cm="1">
        <f t="array" ref="AV2">VLOOKUP(TRUE, CHOOSE({1,2}, EXACT(N2, 'Letter Encoding'!$A:$A), 'Letter Encoding'!$C:$C), 2, FALSE)</f>
        <v>34</v>
      </c>
      <c r="AW2" cm="1">
        <f t="array" ref="AW2">VLOOKUP(TRUE, CHOOSE({1,2}, EXACT(O2, 'Letter Encoding'!$A:$A), 'Letter Encoding'!$C:$C), 2, FALSE)</f>
        <v>32</v>
      </c>
      <c r="AX2" cm="1">
        <f t="array" ref="AX2">VLOOKUP(TRUE, CHOOSE({1,2}, EXACT(P2, 'Letter Encoding'!$A:$A), 'Letter Encoding'!$C:$C), 2, FALSE)</f>
        <v>33</v>
      </c>
      <c r="AY2" cm="1">
        <f t="array" ref="AY2">VLOOKUP(TRUE, CHOOSE({1,2}, EXACT(Q2, 'Letter Encoding'!$A:$A), 'Letter Encoding'!$C:$C), 2, FALSE)</f>
        <v>27</v>
      </c>
      <c r="AZ2" cm="1">
        <f t="array" ref="AZ2">VLOOKUP(TRUE, CHOOSE({1,2}, EXACT(R2, 'Letter Encoding'!$A:$A), 'Letter Encoding'!$C:$C), 2, FALSE)</f>
        <v>40</v>
      </c>
      <c r="BA2" cm="1">
        <f t="array" ref="BA2">VLOOKUP(TRUE, CHOOSE({1,2}, EXACT(S2, 'Letter Encoding'!$A:$A), 'Letter Encoding'!$C:$C), 2, FALSE)</f>
        <v>46</v>
      </c>
      <c r="BB2" cm="1">
        <f t="array" ref="BB2">VLOOKUP(TRUE, CHOOSE({1,2}, EXACT(T2, 'Letter Encoding'!$A:$A), 'Letter Encoding'!$C:$C), 2, FALSE)</f>
        <v>43</v>
      </c>
      <c r="BC2" cm="1">
        <f t="array" ref="BC2">VLOOKUP(TRUE, CHOOSE({1,2}, EXACT(U2, 'Letter Encoding'!$A:$A), 'Letter Encoding'!$C:$C), 2, FALSE)</f>
        <v>44</v>
      </c>
      <c r="BD2" cm="1">
        <f t="array" ref="BD2">VLOOKUP(TRUE, CHOOSE({1,2}, EXACT(V2, 'Letter Encoding'!$A:$A), 'Letter Encoding'!$C:$C), 2, FALSE)</f>
        <v>52</v>
      </c>
      <c r="BE2" cm="1">
        <f t="array" ref="BE2">VLOOKUP(TRUE, CHOOSE({1,2}, EXACT(W2, 'Letter Encoding'!$A:$A), 'Letter Encoding'!$C:$C), 2, FALSE)</f>
        <v>31</v>
      </c>
      <c r="BF2" cm="1">
        <f t="array" ref="BF2">VLOOKUP(TRUE, CHOOSE({1,2}, EXACT(X2, 'Letter Encoding'!$A:$A), 'Letter Encoding'!$C:$C), 2, FALSE)</f>
        <v>40</v>
      </c>
      <c r="BG2" cm="1">
        <f t="array" ref="BG2">VLOOKUP(TRUE, CHOOSE({1,2}, EXACT(Y2, 'Letter Encoding'!$A:$A), 'Letter Encoding'!$C:$C), 2, FALSE)</f>
        <v>43</v>
      </c>
      <c r="BH2" cm="1">
        <f t="array" ref="BH2">VLOOKUP(TRUE, CHOOSE({1,2}, EXACT(Z2, 'Letter Encoding'!$A:$A), 'Letter Encoding'!$C:$C), 2, FALSE)</f>
        <v>38</v>
      </c>
      <c r="BP2">
        <f t="shared" ref="BP2:BP34" si="2">COUNTA(AI2:BN2)</f>
        <v>26</v>
      </c>
      <c r="BS2">
        <v>2</v>
      </c>
      <c r="BT2" t="str">
        <f t="shared" si="0"/>
        <v>34, 39, 52, 26, 52, 32, 43, 34, 29, 53, 52, 39, 30, 34, 32, 33, 27, 40, 46, 43, 44, 52, 31, 40, 43, 38</v>
      </c>
    </row>
    <row r="3" spans="1:72" x14ac:dyDescent="0.3">
      <c r="A3" t="s">
        <v>34</v>
      </c>
      <c r="B3" t="s">
        <v>33</v>
      </c>
      <c r="C3" t="s">
        <v>36</v>
      </c>
      <c r="D3" t="s">
        <v>34</v>
      </c>
      <c r="E3" t="s">
        <v>48</v>
      </c>
      <c r="F3" t="s">
        <v>58</v>
      </c>
      <c r="AH3">
        <f t="shared" si="1"/>
        <v>6</v>
      </c>
      <c r="AI3" cm="1">
        <f t="array" ref="AI3">VLOOKUP(TRUE, CHOOSE({1,2}, EXACT(A3, 'Letter Encoding'!$A:$A), 'Letter Encoding'!$C:$C), 2, FALSE)</f>
        <v>30</v>
      </c>
      <c r="AJ3" cm="1">
        <f t="array" ref="AJ3">VLOOKUP(TRUE, CHOOSE({1,2}, EXACT(B3, 'Letter Encoding'!$A:$A), 'Letter Encoding'!$C:$C), 2, FALSE)</f>
        <v>29</v>
      </c>
      <c r="AK3" cm="1">
        <f t="array" ref="AK3">VLOOKUP(TRUE, CHOOSE({1,2}, EXACT(C3, 'Letter Encoding'!$A:$A), 'Letter Encoding'!$C:$C), 2, FALSE)</f>
        <v>32</v>
      </c>
      <c r="AL3" cm="1">
        <f t="array" ref="AL3">VLOOKUP(TRUE, CHOOSE({1,2}, EXACT(D3, 'Letter Encoding'!$A:$A), 'Letter Encoding'!$C:$C), 2, FALSE)</f>
        <v>30</v>
      </c>
      <c r="AM3" cm="1">
        <f t="array" ref="AM3">VLOOKUP(TRUE, CHOOSE({1,2}, EXACT(E3, 'Letter Encoding'!$A:$A), 'Letter Encoding'!$C:$C), 2, FALSE)</f>
        <v>44</v>
      </c>
      <c r="AN3" cm="1">
        <f t="array" ref="AN3">VLOOKUP(TRUE, CHOOSE({1,2}, EXACT(F3, 'Letter Encoding'!$A:$A), 'Letter Encoding'!$C:$C), 2, FALSE)</f>
        <v>54</v>
      </c>
      <c r="BP3">
        <f t="shared" si="2"/>
        <v>6</v>
      </c>
      <c r="BS3">
        <v>3</v>
      </c>
      <c r="BT3" t="str">
        <f t="shared" si="0"/>
        <v>30, 29, 32, 30, 44, 54</v>
      </c>
    </row>
    <row r="4" spans="1:72" x14ac:dyDescent="0.3">
      <c r="A4" t="s">
        <v>9</v>
      </c>
      <c r="B4" t="s">
        <v>44</v>
      </c>
      <c r="C4" t="s">
        <v>47</v>
      </c>
      <c r="D4" t="s">
        <v>56</v>
      </c>
      <c r="E4" t="s">
        <v>15</v>
      </c>
      <c r="F4" t="s">
        <v>34</v>
      </c>
      <c r="G4" t="s">
        <v>35</v>
      </c>
      <c r="H4" t="s">
        <v>49</v>
      </c>
      <c r="I4" t="s">
        <v>57</v>
      </c>
      <c r="J4" t="s">
        <v>56</v>
      </c>
      <c r="K4" t="s">
        <v>24</v>
      </c>
      <c r="L4" t="s">
        <v>45</v>
      </c>
      <c r="M4" t="s">
        <v>45</v>
      </c>
      <c r="N4" t="s">
        <v>34</v>
      </c>
      <c r="O4" t="s">
        <v>47</v>
      </c>
      <c r="P4" t="s">
        <v>56</v>
      </c>
      <c r="Q4" t="s">
        <v>15</v>
      </c>
      <c r="R4" t="s">
        <v>34</v>
      </c>
      <c r="S4" t="s">
        <v>35</v>
      </c>
      <c r="T4" t="s">
        <v>49</v>
      </c>
      <c r="U4" t="s">
        <v>57</v>
      </c>
      <c r="V4" t="s">
        <v>56</v>
      </c>
      <c r="W4" t="s">
        <v>24</v>
      </c>
      <c r="X4" t="s">
        <v>45</v>
      </c>
      <c r="Y4" t="s">
        <v>45</v>
      </c>
      <c r="Z4" t="s">
        <v>34</v>
      </c>
      <c r="AA4" t="s">
        <v>47</v>
      </c>
      <c r="AB4" t="s">
        <v>56</v>
      </c>
      <c r="AC4" t="s">
        <v>30</v>
      </c>
      <c r="AD4" t="s">
        <v>43</v>
      </c>
      <c r="AE4" t="s">
        <v>33</v>
      </c>
      <c r="AH4">
        <f t="shared" si="1"/>
        <v>31</v>
      </c>
      <c r="AI4" cm="1">
        <f t="array" ref="AI4">VLOOKUP(TRUE, CHOOSE({1,2}, EXACT(A4, 'Letter Encoding'!$A:$A), 'Letter Encoding'!$C:$C), 2, FALSE)</f>
        <v>5</v>
      </c>
      <c r="AJ4" cm="1">
        <f t="array" ref="AJ4">VLOOKUP(TRUE, CHOOSE({1,2}, EXACT(B4, 'Letter Encoding'!$A:$A), 'Letter Encoding'!$C:$C), 2, FALSE)</f>
        <v>40</v>
      </c>
      <c r="AK4" cm="1">
        <f t="array" ref="AK4">VLOOKUP(TRUE, CHOOSE({1,2}, EXACT(C4, 'Letter Encoding'!$A:$A), 'Letter Encoding'!$C:$C), 2, FALSE)</f>
        <v>43</v>
      </c>
      <c r="AL4" cm="1">
        <f t="array" ref="AL4">VLOOKUP(TRUE, CHOOSE({1,2}, EXACT(D4, 'Letter Encoding'!$A:$A), 'Letter Encoding'!$C:$C), 2, FALSE)</f>
        <v>52</v>
      </c>
      <c r="AM4" cm="1">
        <f t="array" ref="AM4">VLOOKUP(TRUE, CHOOSE({1,2}, EXACT(E4, 'Letter Encoding'!$A:$A), 'Letter Encoding'!$C:$C), 2, FALSE)</f>
        <v>11</v>
      </c>
      <c r="AN4" cm="1">
        <f t="array" ref="AN4">VLOOKUP(TRUE, CHOOSE({1,2}, EXACT(F4, 'Letter Encoding'!$A:$A), 'Letter Encoding'!$C:$C), 2, FALSE)</f>
        <v>30</v>
      </c>
      <c r="AO4" cm="1">
        <f t="array" ref="AO4">VLOOKUP(TRUE, CHOOSE({1,2}, EXACT(G4, 'Letter Encoding'!$A:$A), 'Letter Encoding'!$C:$C), 2, FALSE)</f>
        <v>31</v>
      </c>
      <c r="AP4" cm="1">
        <f t="array" ref="AP4">VLOOKUP(TRUE, CHOOSE({1,2}, EXACT(H4, 'Letter Encoding'!$A:$A), 'Letter Encoding'!$C:$C), 2, FALSE)</f>
        <v>45</v>
      </c>
      <c r="AQ4" cm="1">
        <f t="array" ref="AQ4">VLOOKUP(TRUE, CHOOSE({1,2}, EXACT(I4, 'Letter Encoding'!$A:$A), 'Letter Encoding'!$C:$C), 2, FALSE)</f>
        <v>53</v>
      </c>
      <c r="AR4" cm="1">
        <f t="array" ref="AR4">VLOOKUP(TRUE, CHOOSE({1,2}, EXACT(J4, 'Letter Encoding'!$A:$A), 'Letter Encoding'!$C:$C), 2, FALSE)</f>
        <v>52</v>
      </c>
      <c r="AS4" cm="1">
        <f t="array" ref="AS4">VLOOKUP(TRUE, CHOOSE({1,2}, EXACT(K4, 'Letter Encoding'!$A:$A), 'Letter Encoding'!$C:$C), 2, FALSE)</f>
        <v>20</v>
      </c>
      <c r="AT4" cm="1">
        <f t="array" ref="AT4">VLOOKUP(TRUE, CHOOSE({1,2}, EXACT(L4, 'Letter Encoding'!$A:$A), 'Letter Encoding'!$C:$C), 2, FALSE)</f>
        <v>41</v>
      </c>
      <c r="AU4" cm="1">
        <f t="array" ref="AU4">VLOOKUP(TRUE, CHOOSE({1,2}, EXACT(M4, 'Letter Encoding'!$A:$A), 'Letter Encoding'!$C:$C), 2, FALSE)</f>
        <v>41</v>
      </c>
      <c r="AV4" cm="1">
        <f t="array" ref="AV4">VLOOKUP(TRUE, CHOOSE({1,2}, EXACT(N4, 'Letter Encoding'!$A:$A), 'Letter Encoding'!$C:$C), 2, FALSE)</f>
        <v>30</v>
      </c>
      <c r="AW4" cm="1">
        <f t="array" ref="AW4">VLOOKUP(TRUE, CHOOSE({1,2}, EXACT(O4, 'Letter Encoding'!$A:$A), 'Letter Encoding'!$C:$C), 2, FALSE)</f>
        <v>43</v>
      </c>
      <c r="AX4" cm="1">
        <f t="array" ref="AX4">VLOOKUP(TRUE, CHOOSE({1,2}, EXACT(P4, 'Letter Encoding'!$A:$A), 'Letter Encoding'!$C:$C), 2, FALSE)</f>
        <v>52</v>
      </c>
      <c r="AY4" cm="1">
        <f t="array" ref="AY4">VLOOKUP(TRUE, CHOOSE({1,2}, EXACT(Q4, 'Letter Encoding'!$A:$A), 'Letter Encoding'!$C:$C), 2, FALSE)</f>
        <v>11</v>
      </c>
      <c r="AZ4" cm="1">
        <f t="array" ref="AZ4">VLOOKUP(TRUE, CHOOSE({1,2}, EXACT(R4, 'Letter Encoding'!$A:$A), 'Letter Encoding'!$C:$C), 2, FALSE)</f>
        <v>30</v>
      </c>
      <c r="BA4" cm="1">
        <f t="array" ref="BA4">VLOOKUP(TRUE, CHOOSE({1,2}, EXACT(S4, 'Letter Encoding'!$A:$A), 'Letter Encoding'!$C:$C), 2, FALSE)</f>
        <v>31</v>
      </c>
      <c r="BB4" cm="1">
        <f t="array" ref="BB4">VLOOKUP(TRUE, CHOOSE({1,2}, EXACT(T4, 'Letter Encoding'!$A:$A), 'Letter Encoding'!$C:$C), 2, FALSE)</f>
        <v>45</v>
      </c>
      <c r="BC4" cm="1">
        <f t="array" ref="BC4">VLOOKUP(TRUE, CHOOSE({1,2}, EXACT(U4, 'Letter Encoding'!$A:$A), 'Letter Encoding'!$C:$C), 2, FALSE)</f>
        <v>53</v>
      </c>
      <c r="BD4" cm="1">
        <f t="array" ref="BD4">VLOOKUP(TRUE, CHOOSE({1,2}, EXACT(V4, 'Letter Encoding'!$A:$A), 'Letter Encoding'!$C:$C), 2, FALSE)</f>
        <v>52</v>
      </c>
      <c r="BE4" cm="1">
        <f t="array" ref="BE4">VLOOKUP(TRUE, CHOOSE({1,2}, EXACT(W4, 'Letter Encoding'!$A:$A), 'Letter Encoding'!$C:$C), 2, FALSE)</f>
        <v>20</v>
      </c>
      <c r="BF4" cm="1">
        <f t="array" ref="BF4">VLOOKUP(TRUE, CHOOSE({1,2}, EXACT(X4, 'Letter Encoding'!$A:$A), 'Letter Encoding'!$C:$C), 2, FALSE)</f>
        <v>41</v>
      </c>
      <c r="BG4" cm="1">
        <f t="array" ref="BG4">VLOOKUP(TRUE, CHOOSE({1,2}, EXACT(Y4, 'Letter Encoding'!$A:$A), 'Letter Encoding'!$C:$C), 2, FALSE)</f>
        <v>41</v>
      </c>
      <c r="BH4" cm="1">
        <f t="array" ref="BH4">VLOOKUP(TRUE, CHOOSE({1,2}, EXACT(Z4, 'Letter Encoding'!$A:$A), 'Letter Encoding'!$C:$C), 2, FALSE)</f>
        <v>30</v>
      </c>
      <c r="BI4" cm="1">
        <f t="array" ref="BI4">VLOOKUP(TRUE, CHOOSE({1,2}, EXACT(AA4, 'Letter Encoding'!$A:$A), 'Letter Encoding'!$C:$C), 2, FALSE)</f>
        <v>43</v>
      </c>
      <c r="BJ4" cm="1">
        <f t="array" ref="BJ4">VLOOKUP(TRUE, CHOOSE({1,2}, EXACT(AB4, 'Letter Encoding'!$A:$A), 'Letter Encoding'!$C:$C), 2, FALSE)</f>
        <v>52</v>
      </c>
      <c r="BK4" cm="1">
        <f t="array" ref="BK4">VLOOKUP(TRUE, CHOOSE({1,2}, EXACT(AC4, 'Letter Encoding'!$A:$A), 'Letter Encoding'!$C:$C), 2, FALSE)</f>
        <v>26</v>
      </c>
      <c r="BL4" cm="1">
        <f t="array" ref="BL4">VLOOKUP(TRUE, CHOOSE({1,2}, EXACT(AD4, 'Letter Encoding'!$A:$A), 'Letter Encoding'!$C:$C), 2, FALSE)</f>
        <v>39</v>
      </c>
      <c r="BM4" cm="1">
        <f t="array" ref="BM4">VLOOKUP(TRUE, CHOOSE({1,2}, EXACT(AE4, 'Letter Encoding'!$A:$A), 'Letter Encoding'!$C:$C), 2, FALSE)</f>
        <v>29</v>
      </c>
      <c r="BP4">
        <f t="shared" si="2"/>
        <v>31</v>
      </c>
      <c r="BR4">
        <v>2</v>
      </c>
      <c r="BS4">
        <v>4</v>
      </c>
      <c r="BT4" t="str">
        <f t="shared" si="0"/>
        <v>5, 40, 43, 52, 11, 30, 31, 45, 53, 52, 20, 41, 41, 30, 43, 52, 11, 30, 31, 45, 53, 52, 20, 41, 41, 30, 43, 52, 26, 39, 29</v>
      </c>
    </row>
    <row r="5" spans="1:72" x14ac:dyDescent="0.3">
      <c r="A5" t="s">
        <v>24</v>
      </c>
      <c r="B5" t="s">
        <v>45</v>
      </c>
      <c r="C5" t="s">
        <v>45</v>
      </c>
      <c r="D5" t="s">
        <v>34</v>
      </c>
      <c r="E5" t="s">
        <v>47</v>
      </c>
      <c r="F5" t="s">
        <v>56</v>
      </c>
      <c r="G5" t="s">
        <v>21</v>
      </c>
      <c r="H5" t="s">
        <v>38</v>
      </c>
      <c r="I5" t="s">
        <v>36</v>
      </c>
      <c r="J5" t="s">
        <v>37</v>
      </c>
      <c r="K5" t="s">
        <v>49</v>
      </c>
      <c r="L5" t="s">
        <v>56</v>
      </c>
      <c r="M5" t="s">
        <v>45</v>
      </c>
      <c r="N5" t="s">
        <v>38</v>
      </c>
      <c r="O5" t="s">
        <v>53</v>
      </c>
      <c r="P5" t="s">
        <v>34</v>
      </c>
      <c r="Q5" t="s">
        <v>41</v>
      </c>
      <c r="R5" t="s">
        <v>57</v>
      </c>
      <c r="S5" t="s">
        <v>56</v>
      </c>
      <c r="T5" t="s">
        <v>35</v>
      </c>
      <c r="U5" t="s">
        <v>38</v>
      </c>
      <c r="V5" t="s">
        <v>43</v>
      </c>
      <c r="W5" t="s">
        <v>33</v>
      </c>
      <c r="X5" t="s">
        <v>56</v>
      </c>
      <c r="Y5" t="s">
        <v>49</v>
      </c>
      <c r="Z5" t="s">
        <v>37</v>
      </c>
      <c r="AA5" t="s">
        <v>34</v>
      </c>
      <c r="AB5" t="s">
        <v>38</v>
      </c>
      <c r="AC5" t="s">
        <v>47</v>
      </c>
      <c r="AH5">
        <f t="shared" si="1"/>
        <v>29</v>
      </c>
      <c r="AI5" cm="1">
        <f t="array" ref="AI5">VLOOKUP(TRUE, CHOOSE({1,2}, EXACT(A5, 'Letter Encoding'!$A:$A), 'Letter Encoding'!$C:$C), 2, FALSE)</f>
        <v>20</v>
      </c>
      <c r="AJ5" cm="1">
        <f t="array" ref="AJ5">VLOOKUP(TRUE, CHOOSE({1,2}, EXACT(B5, 'Letter Encoding'!$A:$A), 'Letter Encoding'!$C:$C), 2, FALSE)</f>
        <v>41</v>
      </c>
      <c r="AK5" cm="1">
        <f t="array" ref="AK5">VLOOKUP(TRUE, CHOOSE({1,2}, EXACT(C5, 'Letter Encoding'!$A:$A), 'Letter Encoding'!$C:$C), 2, FALSE)</f>
        <v>41</v>
      </c>
      <c r="AL5" cm="1">
        <f t="array" ref="AL5">VLOOKUP(TRUE, CHOOSE({1,2}, EXACT(D5, 'Letter Encoding'!$A:$A), 'Letter Encoding'!$C:$C), 2, FALSE)</f>
        <v>30</v>
      </c>
      <c r="AM5" cm="1">
        <f t="array" ref="AM5">VLOOKUP(TRUE, CHOOSE({1,2}, EXACT(E5, 'Letter Encoding'!$A:$A), 'Letter Encoding'!$C:$C), 2, FALSE)</f>
        <v>43</v>
      </c>
      <c r="AN5" cm="1">
        <f t="array" ref="AN5">VLOOKUP(TRUE, CHOOSE({1,2}, EXACT(F5, 'Letter Encoding'!$A:$A), 'Letter Encoding'!$C:$C), 2, FALSE)</f>
        <v>52</v>
      </c>
      <c r="AO5" cm="1">
        <f t="array" ref="AO5">VLOOKUP(TRUE, CHOOSE({1,2}, EXACT(G5, 'Letter Encoding'!$A:$A), 'Letter Encoding'!$C:$C), 2, FALSE)</f>
        <v>17</v>
      </c>
      <c r="AP5" cm="1">
        <f t="array" ref="AP5">VLOOKUP(TRUE, CHOOSE({1,2}, EXACT(H5, 'Letter Encoding'!$A:$A), 'Letter Encoding'!$C:$C), 2, FALSE)</f>
        <v>34</v>
      </c>
      <c r="AQ5" cm="1">
        <f t="array" ref="AQ5">VLOOKUP(TRUE, CHOOSE({1,2}, EXACT(I5, 'Letter Encoding'!$A:$A), 'Letter Encoding'!$C:$C), 2, FALSE)</f>
        <v>32</v>
      </c>
      <c r="AR5" cm="1">
        <f t="array" ref="AR5">VLOOKUP(TRUE, CHOOSE({1,2}, EXACT(J5, 'Letter Encoding'!$A:$A), 'Letter Encoding'!$C:$C), 2, FALSE)</f>
        <v>33</v>
      </c>
      <c r="AS5" cm="1">
        <f t="array" ref="AS5">VLOOKUP(TRUE, CHOOSE({1,2}, EXACT(K5, 'Letter Encoding'!$A:$A), 'Letter Encoding'!$C:$C), 2, FALSE)</f>
        <v>45</v>
      </c>
      <c r="AT5" cm="1">
        <f t="array" ref="AT5">VLOOKUP(TRUE, CHOOSE({1,2}, EXACT(L5, 'Letter Encoding'!$A:$A), 'Letter Encoding'!$C:$C), 2, FALSE)</f>
        <v>52</v>
      </c>
      <c r="AU5" cm="1">
        <f t="array" ref="AU5">VLOOKUP(TRUE, CHOOSE({1,2}, EXACT(M5, 'Letter Encoding'!$A:$A), 'Letter Encoding'!$C:$C), 2, FALSE)</f>
        <v>41</v>
      </c>
      <c r="AV5" cm="1">
        <f t="array" ref="AV5">VLOOKUP(TRUE, CHOOSE({1,2}, EXACT(N5, 'Letter Encoding'!$A:$A), 'Letter Encoding'!$C:$C), 2, FALSE)</f>
        <v>34</v>
      </c>
      <c r="AW5" cm="1">
        <f t="array" ref="AW5">VLOOKUP(TRUE, CHOOSE({1,2}, EXACT(O5, 'Letter Encoding'!$A:$A), 'Letter Encoding'!$C:$C), 2, FALSE)</f>
        <v>49</v>
      </c>
      <c r="AX5" cm="1">
        <f t="array" ref="AX5">VLOOKUP(TRUE, CHOOSE({1,2}, EXACT(P5, 'Letter Encoding'!$A:$A), 'Letter Encoding'!$C:$C), 2, FALSE)</f>
        <v>30</v>
      </c>
      <c r="AY5" cm="1">
        <f t="array" ref="AY5">VLOOKUP(TRUE, CHOOSE({1,2}, EXACT(Q5, 'Letter Encoding'!$A:$A), 'Letter Encoding'!$C:$C), 2, FALSE)</f>
        <v>37</v>
      </c>
      <c r="AZ5" cm="1">
        <f t="array" ref="AZ5">VLOOKUP(TRUE, CHOOSE({1,2}, EXACT(R5, 'Letter Encoding'!$A:$A), 'Letter Encoding'!$C:$C), 2, FALSE)</f>
        <v>53</v>
      </c>
      <c r="BA5" cm="1">
        <f t="array" ref="BA5">VLOOKUP(TRUE, CHOOSE({1,2}, EXACT(S5, 'Letter Encoding'!$A:$A), 'Letter Encoding'!$C:$C), 2, FALSE)</f>
        <v>52</v>
      </c>
      <c r="BB5" cm="1">
        <f t="array" ref="BB5">VLOOKUP(TRUE, CHOOSE({1,2}, EXACT(T5, 'Letter Encoding'!$A:$A), 'Letter Encoding'!$C:$C), 2, FALSE)</f>
        <v>31</v>
      </c>
      <c r="BC5" cm="1">
        <f t="array" ref="BC5">VLOOKUP(TRUE, CHOOSE({1,2}, EXACT(U5, 'Letter Encoding'!$A:$A), 'Letter Encoding'!$C:$C), 2, FALSE)</f>
        <v>34</v>
      </c>
      <c r="BD5" cm="1">
        <f t="array" ref="BD5">VLOOKUP(TRUE, CHOOSE({1,2}, EXACT(V5, 'Letter Encoding'!$A:$A), 'Letter Encoding'!$C:$C), 2, FALSE)</f>
        <v>39</v>
      </c>
      <c r="BE5" cm="1">
        <f t="array" ref="BE5">VLOOKUP(TRUE, CHOOSE({1,2}, EXACT(W5, 'Letter Encoding'!$A:$A), 'Letter Encoding'!$C:$C), 2, FALSE)</f>
        <v>29</v>
      </c>
      <c r="BF5" cm="1">
        <f t="array" ref="BF5">VLOOKUP(TRUE, CHOOSE({1,2}, EXACT(X5, 'Letter Encoding'!$A:$A), 'Letter Encoding'!$C:$C), 2, FALSE)</f>
        <v>52</v>
      </c>
      <c r="BG5" cm="1">
        <f t="array" ref="BG5">VLOOKUP(TRUE, CHOOSE({1,2}, EXACT(Y5, 'Letter Encoding'!$A:$A), 'Letter Encoding'!$C:$C), 2, FALSE)</f>
        <v>45</v>
      </c>
      <c r="BH5" cm="1">
        <f t="array" ref="BH5">VLOOKUP(TRUE, CHOOSE({1,2}, EXACT(Z5, 'Letter Encoding'!$A:$A), 'Letter Encoding'!$C:$C), 2, FALSE)</f>
        <v>33</v>
      </c>
      <c r="BI5" cm="1">
        <f t="array" ref="BI5">VLOOKUP(TRUE, CHOOSE({1,2}, EXACT(AA5, 'Letter Encoding'!$A:$A), 'Letter Encoding'!$C:$C), 2, FALSE)</f>
        <v>30</v>
      </c>
      <c r="BJ5" cm="1">
        <f t="array" ref="BJ5">VLOOKUP(TRUE, CHOOSE({1,2}, EXACT(AB5, 'Letter Encoding'!$A:$A), 'Letter Encoding'!$C:$C), 2, FALSE)</f>
        <v>34</v>
      </c>
      <c r="BK5" cm="1">
        <f t="array" ref="BK5">VLOOKUP(TRUE, CHOOSE({1,2}, EXACT(AC5, 'Letter Encoding'!$A:$A), 'Letter Encoding'!$C:$C), 2, FALSE)</f>
        <v>43</v>
      </c>
      <c r="BP5">
        <f t="shared" si="2"/>
        <v>29</v>
      </c>
      <c r="BS5">
        <v>5</v>
      </c>
      <c r="BT5" t="str">
        <f t="shared" si="0"/>
        <v>20, 41, 41, 30, 43, 52, 17, 34, 32, 33, 45, 52, 41, 34, 49, 30, 37, 53, 52, 31, 34, 39, 29, 52, 45, 33, 30, 34, 43</v>
      </c>
    </row>
    <row r="6" spans="1:72" x14ac:dyDescent="0.3">
      <c r="A6" t="s">
        <v>47</v>
      </c>
      <c r="B6" t="s">
        <v>44</v>
      </c>
      <c r="C6" t="s">
        <v>44</v>
      </c>
      <c r="D6" t="s">
        <v>49</v>
      </c>
      <c r="E6" t="s">
        <v>56</v>
      </c>
      <c r="F6" t="s">
        <v>31</v>
      </c>
      <c r="G6" t="s">
        <v>54</v>
      </c>
      <c r="H6" t="s">
        <v>56</v>
      </c>
      <c r="I6" t="s">
        <v>52</v>
      </c>
      <c r="J6" t="s">
        <v>30</v>
      </c>
      <c r="K6" t="s">
        <v>41</v>
      </c>
      <c r="L6" t="s">
        <v>40</v>
      </c>
      <c r="M6" t="s">
        <v>38</v>
      </c>
      <c r="N6" t="s">
        <v>43</v>
      </c>
      <c r="O6" t="s">
        <v>36</v>
      </c>
      <c r="P6" t="s">
        <v>56</v>
      </c>
      <c r="Q6" t="s">
        <v>50</v>
      </c>
      <c r="R6" t="s">
        <v>45</v>
      </c>
      <c r="S6" t="s">
        <v>56</v>
      </c>
      <c r="T6" t="s">
        <v>49</v>
      </c>
      <c r="U6" t="s">
        <v>37</v>
      </c>
      <c r="V6" t="s">
        <v>34</v>
      </c>
      <c r="W6" t="s">
        <v>38</v>
      </c>
      <c r="X6" t="s">
        <v>47</v>
      </c>
      <c r="Y6" t="s">
        <v>56</v>
      </c>
      <c r="Z6" t="s">
        <v>45</v>
      </c>
      <c r="AA6" t="s">
        <v>30</v>
      </c>
      <c r="AB6" t="s">
        <v>47</v>
      </c>
      <c r="AC6" t="s">
        <v>34</v>
      </c>
      <c r="AD6" t="s">
        <v>43</v>
      </c>
      <c r="AE6" t="s">
        <v>49</v>
      </c>
      <c r="AF6" t="s">
        <v>48</v>
      </c>
      <c r="AG6" t="s">
        <v>58</v>
      </c>
      <c r="AH6">
        <f t="shared" si="1"/>
        <v>33</v>
      </c>
      <c r="AI6" cm="1">
        <f t="array" ref="AI6">VLOOKUP(TRUE, CHOOSE({1,2}, EXACT(A6, 'Letter Encoding'!$A:$A), 'Letter Encoding'!$C:$C), 2, FALSE)</f>
        <v>43</v>
      </c>
      <c r="AJ6" cm="1">
        <f t="array" ref="AJ6">VLOOKUP(TRUE, CHOOSE({1,2}, EXACT(B6, 'Letter Encoding'!$A:$A), 'Letter Encoding'!$C:$C), 2, FALSE)</f>
        <v>40</v>
      </c>
      <c r="AK6" cm="1">
        <f t="array" ref="AK6">VLOOKUP(TRUE, CHOOSE({1,2}, EXACT(C6, 'Letter Encoding'!$A:$A), 'Letter Encoding'!$C:$C), 2, FALSE)</f>
        <v>40</v>
      </c>
      <c r="AL6" cm="1">
        <f t="array" ref="AL6">VLOOKUP(TRUE, CHOOSE({1,2}, EXACT(D6, 'Letter Encoding'!$A:$A), 'Letter Encoding'!$C:$C), 2, FALSE)</f>
        <v>45</v>
      </c>
      <c r="AM6" cm="1">
        <f t="array" ref="AM6">VLOOKUP(TRUE, CHOOSE({1,2}, EXACT(E6, 'Letter Encoding'!$A:$A), 'Letter Encoding'!$C:$C), 2, FALSE)</f>
        <v>52</v>
      </c>
      <c r="AN6" cm="1">
        <f t="array" ref="AN6">VLOOKUP(TRUE, CHOOSE({1,2}, EXACT(F6, 'Letter Encoding'!$A:$A), 'Letter Encoding'!$C:$C), 2, FALSE)</f>
        <v>27</v>
      </c>
      <c r="AO6" cm="1">
        <f t="array" ref="AO6">VLOOKUP(TRUE, CHOOSE({1,2}, EXACT(G6, 'Letter Encoding'!$A:$A), 'Letter Encoding'!$C:$C), 2, FALSE)</f>
        <v>50</v>
      </c>
      <c r="AP6" cm="1">
        <f t="array" ref="AP6">VLOOKUP(TRUE, CHOOSE({1,2}, EXACT(H6, 'Letter Encoding'!$A:$A), 'Letter Encoding'!$C:$C), 2, FALSE)</f>
        <v>52</v>
      </c>
      <c r="AQ6" cm="1">
        <f t="array" ref="AQ6">VLOOKUP(TRUE, CHOOSE({1,2}, EXACT(I6, 'Letter Encoding'!$A:$A), 'Letter Encoding'!$C:$C), 2, FALSE)</f>
        <v>48</v>
      </c>
      <c r="AR6" cm="1">
        <f t="array" ref="AR6">VLOOKUP(TRUE, CHOOSE({1,2}, EXACT(J6, 'Letter Encoding'!$A:$A), 'Letter Encoding'!$C:$C), 2, FALSE)</f>
        <v>26</v>
      </c>
      <c r="AS6" cm="1">
        <f t="array" ref="AS6">VLOOKUP(TRUE, CHOOSE({1,2}, EXACT(K6, 'Letter Encoding'!$A:$A), 'Letter Encoding'!$C:$C), 2, FALSE)</f>
        <v>37</v>
      </c>
      <c r="AT6" cm="1">
        <f t="array" ref="AT6">VLOOKUP(TRUE, CHOOSE({1,2}, EXACT(L6, 'Letter Encoding'!$A:$A), 'Letter Encoding'!$C:$C), 2, FALSE)</f>
        <v>36</v>
      </c>
      <c r="AU6" cm="1">
        <f t="array" ref="AU6">VLOOKUP(TRUE, CHOOSE({1,2}, EXACT(M6, 'Letter Encoding'!$A:$A), 'Letter Encoding'!$C:$C), 2, FALSE)</f>
        <v>34</v>
      </c>
      <c r="AV6" cm="1">
        <f t="array" ref="AV6">VLOOKUP(TRUE, CHOOSE({1,2}, EXACT(N6, 'Letter Encoding'!$A:$A), 'Letter Encoding'!$C:$C), 2, FALSE)</f>
        <v>39</v>
      </c>
      <c r="AW6" cm="1">
        <f t="array" ref="AW6">VLOOKUP(TRUE, CHOOSE({1,2}, EXACT(O6, 'Letter Encoding'!$A:$A), 'Letter Encoding'!$C:$C), 2, FALSE)</f>
        <v>32</v>
      </c>
      <c r="AX6" cm="1">
        <f t="array" ref="AX6">VLOOKUP(TRUE, CHOOSE({1,2}, EXACT(P6, 'Letter Encoding'!$A:$A), 'Letter Encoding'!$C:$C), 2, FALSE)</f>
        <v>52</v>
      </c>
      <c r="AY6" cm="1">
        <f t="array" ref="AY6">VLOOKUP(TRUE, CHOOSE({1,2}, EXACT(Q6, 'Letter Encoding'!$A:$A), 'Letter Encoding'!$C:$C), 2, FALSE)</f>
        <v>46</v>
      </c>
      <c r="AZ6" cm="1">
        <f t="array" ref="AZ6">VLOOKUP(TRUE, CHOOSE({1,2}, EXACT(R6, 'Letter Encoding'!$A:$A), 'Letter Encoding'!$C:$C), 2, FALSE)</f>
        <v>41</v>
      </c>
      <c r="BA6" cm="1">
        <f t="array" ref="BA6">VLOOKUP(TRUE, CHOOSE({1,2}, EXACT(S6, 'Letter Encoding'!$A:$A), 'Letter Encoding'!$C:$C), 2, FALSE)</f>
        <v>52</v>
      </c>
      <c r="BB6" cm="1">
        <f t="array" ref="BB6">VLOOKUP(TRUE, CHOOSE({1,2}, EXACT(T6, 'Letter Encoding'!$A:$A), 'Letter Encoding'!$C:$C), 2, FALSE)</f>
        <v>45</v>
      </c>
      <c r="BC6" cm="1">
        <f t="array" ref="BC6">VLOOKUP(TRUE, CHOOSE({1,2}, EXACT(U6, 'Letter Encoding'!$A:$A), 'Letter Encoding'!$C:$C), 2, FALSE)</f>
        <v>33</v>
      </c>
      <c r="BD6" cm="1">
        <f t="array" ref="BD6">VLOOKUP(TRUE, CHOOSE({1,2}, EXACT(V6, 'Letter Encoding'!$A:$A), 'Letter Encoding'!$C:$C), 2, FALSE)</f>
        <v>30</v>
      </c>
      <c r="BE6" cm="1">
        <f t="array" ref="BE6">VLOOKUP(TRUE, CHOOSE({1,2}, EXACT(W6, 'Letter Encoding'!$A:$A), 'Letter Encoding'!$C:$C), 2, FALSE)</f>
        <v>34</v>
      </c>
      <c r="BF6" cm="1">
        <f t="array" ref="BF6">VLOOKUP(TRUE, CHOOSE({1,2}, EXACT(X6, 'Letter Encoding'!$A:$A), 'Letter Encoding'!$C:$C), 2, FALSE)</f>
        <v>43</v>
      </c>
      <c r="BG6" cm="1">
        <f t="array" ref="BG6">VLOOKUP(TRUE, CHOOSE({1,2}, EXACT(Y6, 'Letter Encoding'!$A:$A), 'Letter Encoding'!$C:$C), 2, FALSE)</f>
        <v>52</v>
      </c>
      <c r="BH6" cm="1">
        <f t="array" ref="BH6">VLOOKUP(TRUE, CHOOSE({1,2}, EXACT(Z6, 'Letter Encoding'!$A:$A), 'Letter Encoding'!$C:$C), 2, FALSE)</f>
        <v>41</v>
      </c>
      <c r="BI6" cm="1">
        <f t="array" ref="BI6">VLOOKUP(TRUE, CHOOSE({1,2}, EXACT(AA6, 'Letter Encoding'!$A:$A), 'Letter Encoding'!$C:$C), 2, FALSE)</f>
        <v>26</v>
      </c>
      <c r="BJ6" cm="1">
        <f t="array" ref="BJ6">VLOOKUP(TRUE, CHOOSE({1,2}, EXACT(AB6, 'Letter Encoding'!$A:$A), 'Letter Encoding'!$C:$C), 2, FALSE)</f>
        <v>43</v>
      </c>
      <c r="BK6" cm="1">
        <f t="array" ref="BK6">VLOOKUP(TRUE, CHOOSE({1,2}, EXACT(AC6, 'Letter Encoding'!$A:$A), 'Letter Encoding'!$C:$C), 2, FALSE)</f>
        <v>30</v>
      </c>
      <c r="BL6" cm="1">
        <f t="array" ref="BL6">VLOOKUP(TRUE, CHOOSE({1,2}, EXACT(AD6, 'Letter Encoding'!$A:$A), 'Letter Encoding'!$C:$C), 2, FALSE)</f>
        <v>39</v>
      </c>
      <c r="BM6" cm="1">
        <f t="array" ref="BM6">VLOOKUP(TRUE, CHOOSE({1,2}, EXACT(AE6, 'Letter Encoding'!$A:$A), 'Letter Encoding'!$C:$C), 2, FALSE)</f>
        <v>45</v>
      </c>
      <c r="BN6" cm="1">
        <f t="array" ref="BN6">VLOOKUP(TRUE, CHOOSE({1,2}, EXACT(AF6, 'Letter Encoding'!$A:$A), 'Letter Encoding'!$C:$C), 2, FALSE)</f>
        <v>44</v>
      </c>
      <c r="BO6" cm="1">
        <f t="array" ref="BO6">VLOOKUP(TRUE, CHOOSE({1,2}, EXACT(AG6, 'Letter Encoding'!$A:$A), 'Letter Encoding'!$C:$C), 2, FALSE)</f>
        <v>54</v>
      </c>
      <c r="BP6">
        <f t="shared" si="2"/>
        <v>32</v>
      </c>
      <c r="BS6">
        <v>6</v>
      </c>
      <c r="BT6" t="str">
        <f t="shared" si="0"/>
        <v>43, 40, 40, 45, 52, 27, 50, 52, 48, 26, 37, 36, 34, 39, 32, 52, 46, 41, 52, 45, 33, 30, 34, 43, 52, 41, 26, 43, 30, 39, 45, 44, 54</v>
      </c>
    </row>
    <row r="7" spans="1:72" x14ac:dyDescent="0.3">
      <c r="AH7">
        <f t="shared" si="1"/>
        <v>0</v>
      </c>
      <c r="BT7" t="str">
        <f t="shared" si="0"/>
        <v/>
      </c>
    </row>
    <row r="8" spans="1:72" x14ac:dyDescent="0.3">
      <c r="A8" t="s">
        <v>4</v>
      </c>
      <c r="B8" t="s">
        <v>41</v>
      </c>
      <c r="C8" t="s">
        <v>41</v>
      </c>
      <c r="D8" t="s">
        <v>44</v>
      </c>
      <c r="E8" t="s">
        <v>32</v>
      </c>
      <c r="F8" t="s">
        <v>30</v>
      </c>
      <c r="G8" t="s">
        <v>49</v>
      </c>
      <c r="H8" t="s">
        <v>34</v>
      </c>
      <c r="I8" t="s">
        <v>56</v>
      </c>
      <c r="J8" t="s">
        <v>32</v>
      </c>
      <c r="K8" t="s">
        <v>50</v>
      </c>
      <c r="L8" t="s">
        <v>47</v>
      </c>
      <c r="M8" t="s">
        <v>47</v>
      </c>
      <c r="N8" t="s">
        <v>34</v>
      </c>
      <c r="O8" t="s">
        <v>43</v>
      </c>
      <c r="P8" t="s">
        <v>49</v>
      </c>
      <c r="Q8" t="s">
        <v>56</v>
      </c>
      <c r="R8" t="s">
        <v>45</v>
      </c>
      <c r="S8" t="s">
        <v>38</v>
      </c>
      <c r="T8" t="s">
        <v>53</v>
      </c>
      <c r="U8" t="s">
        <v>34</v>
      </c>
      <c r="V8" t="s">
        <v>41</v>
      </c>
      <c r="W8" t="s">
        <v>56</v>
      </c>
      <c r="X8" t="s">
        <v>38</v>
      </c>
      <c r="Y8" t="s">
        <v>35</v>
      </c>
      <c r="AH8">
        <f t="shared" si="1"/>
        <v>25</v>
      </c>
      <c r="AI8" cm="1">
        <f t="array" ref="AI8">VLOOKUP(TRUE, CHOOSE({1,2}, EXACT(A8, 'Letter Encoding'!$A:$A), 'Letter Encoding'!$C:$C), 2, FALSE)</f>
        <v>0</v>
      </c>
      <c r="AJ8" cm="1">
        <f t="array" ref="AJ8">VLOOKUP(TRUE, CHOOSE({1,2}, EXACT(B8, 'Letter Encoding'!$A:$A), 'Letter Encoding'!$C:$C), 2, FALSE)</f>
        <v>37</v>
      </c>
      <c r="AK8" cm="1">
        <f t="array" ref="AK8">VLOOKUP(TRUE, CHOOSE({1,2}, EXACT(C8, 'Letter Encoding'!$A:$A), 'Letter Encoding'!$C:$C), 2, FALSE)</f>
        <v>37</v>
      </c>
      <c r="AL8" cm="1">
        <f t="array" ref="AL8">VLOOKUP(TRUE, CHOOSE({1,2}, EXACT(D8, 'Letter Encoding'!$A:$A), 'Letter Encoding'!$C:$C), 2, FALSE)</f>
        <v>40</v>
      </c>
      <c r="AM8" cm="1">
        <f t="array" ref="AM8">VLOOKUP(TRUE, CHOOSE({1,2}, EXACT(E8, 'Letter Encoding'!$A:$A), 'Letter Encoding'!$C:$C), 2, FALSE)</f>
        <v>28</v>
      </c>
      <c r="AN8" cm="1">
        <f t="array" ref="AN8">VLOOKUP(TRUE, CHOOSE({1,2}, EXACT(F8, 'Letter Encoding'!$A:$A), 'Letter Encoding'!$C:$C), 2, FALSE)</f>
        <v>26</v>
      </c>
      <c r="AO8" cm="1">
        <f t="array" ref="AO8">VLOOKUP(TRUE, CHOOSE({1,2}, EXACT(G8, 'Letter Encoding'!$A:$A), 'Letter Encoding'!$C:$C), 2, FALSE)</f>
        <v>45</v>
      </c>
      <c r="AP8" cm="1">
        <f t="array" ref="AP8">VLOOKUP(TRUE, CHOOSE({1,2}, EXACT(H8, 'Letter Encoding'!$A:$A), 'Letter Encoding'!$C:$C), 2, FALSE)</f>
        <v>30</v>
      </c>
      <c r="AQ8" cm="1">
        <f t="array" ref="AQ8">VLOOKUP(TRUE, CHOOSE({1,2}, EXACT(I8, 'Letter Encoding'!$A:$A), 'Letter Encoding'!$C:$C), 2, FALSE)</f>
        <v>52</v>
      </c>
      <c r="AR8" cm="1">
        <f t="array" ref="AR8">VLOOKUP(TRUE, CHOOSE({1,2}, EXACT(J8, 'Letter Encoding'!$A:$A), 'Letter Encoding'!$C:$C), 2, FALSE)</f>
        <v>28</v>
      </c>
      <c r="AS8" cm="1">
        <f t="array" ref="AS8">VLOOKUP(TRUE, CHOOSE({1,2}, EXACT(K8, 'Letter Encoding'!$A:$A), 'Letter Encoding'!$C:$C), 2, FALSE)</f>
        <v>46</v>
      </c>
      <c r="AT8" cm="1">
        <f t="array" ref="AT8">VLOOKUP(TRUE, CHOOSE({1,2}, EXACT(L8, 'Letter Encoding'!$A:$A), 'Letter Encoding'!$C:$C), 2, FALSE)</f>
        <v>43</v>
      </c>
      <c r="AU8" cm="1">
        <f t="array" ref="AU8">VLOOKUP(TRUE, CHOOSE({1,2}, EXACT(M8, 'Letter Encoding'!$A:$A), 'Letter Encoding'!$C:$C), 2, FALSE)</f>
        <v>43</v>
      </c>
      <c r="AV8" cm="1">
        <f t="array" ref="AV8">VLOOKUP(TRUE, CHOOSE({1,2}, EXACT(N8, 'Letter Encoding'!$A:$A), 'Letter Encoding'!$C:$C), 2, FALSE)</f>
        <v>30</v>
      </c>
      <c r="AW8" cm="1">
        <f t="array" ref="AW8">VLOOKUP(TRUE, CHOOSE({1,2}, EXACT(O8, 'Letter Encoding'!$A:$A), 'Letter Encoding'!$C:$C), 2, FALSE)</f>
        <v>39</v>
      </c>
      <c r="AX8" cm="1">
        <f t="array" ref="AX8">VLOOKUP(TRUE, CHOOSE({1,2}, EXACT(P8, 'Letter Encoding'!$A:$A), 'Letter Encoding'!$C:$C), 2, FALSE)</f>
        <v>45</v>
      </c>
      <c r="AY8" cm="1">
        <f t="array" ref="AY8">VLOOKUP(TRUE, CHOOSE({1,2}, EXACT(Q8, 'Letter Encoding'!$A:$A), 'Letter Encoding'!$C:$C), 2, FALSE)</f>
        <v>52</v>
      </c>
      <c r="AZ8" cm="1">
        <f t="array" ref="AZ8">VLOOKUP(TRUE, CHOOSE({1,2}, EXACT(R8, 'Letter Encoding'!$A:$A), 'Letter Encoding'!$C:$C), 2, FALSE)</f>
        <v>41</v>
      </c>
      <c r="BA8" cm="1">
        <f t="array" ref="BA8">VLOOKUP(TRUE, CHOOSE({1,2}, EXACT(S8, 'Letter Encoding'!$A:$A), 'Letter Encoding'!$C:$C), 2, FALSE)</f>
        <v>34</v>
      </c>
      <c r="BB8" cm="1">
        <f t="array" ref="BB8">VLOOKUP(TRUE, CHOOSE({1,2}, EXACT(T8, 'Letter Encoding'!$A:$A), 'Letter Encoding'!$C:$C), 2, FALSE)</f>
        <v>49</v>
      </c>
      <c r="BC8" cm="1">
        <f t="array" ref="BC8">VLOOKUP(TRUE, CHOOSE({1,2}, EXACT(U8, 'Letter Encoding'!$A:$A), 'Letter Encoding'!$C:$C), 2, FALSE)</f>
        <v>30</v>
      </c>
      <c r="BD8" cm="1">
        <f t="array" ref="BD8">VLOOKUP(TRUE, CHOOSE({1,2}, EXACT(V8, 'Letter Encoding'!$A:$A), 'Letter Encoding'!$C:$C), 2, FALSE)</f>
        <v>37</v>
      </c>
      <c r="BE8" cm="1">
        <f t="array" ref="BE8">VLOOKUP(TRUE, CHOOSE({1,2}, EXACT(W8, 'Letter Encoding'!$A:$A), 'Letter Encoding'!$C:$C), 2, FALSE)</f>
        <v>52</v>
      </c>
      <c r="BF8" cm="1">
        <f t="array" ref="BF8">VLOOKUP(TRUE, CHOOSE({1,2}, EXACT(X8, 'Letter Encoding'!$A:$A), 'Letter Encoding'!$C:$C), 2, FALSE)</f>
        <v>34</v>
      </c>
      <c r="BG8" cm="1">
        <f t="array" ref="BG8">VLOOKUP(TRUE, CHOOSE({1,2}, EXACT(Y8, 'Letter Encoding'!$A:$A), 'Letter Encoding'!$C:$C), 2, FALSE)</f>
        <v>31</v>
      </c>
      <c r="BP8">
        <f t="shared" si="2"/>
        <v>25</v>
      </c>
      <c r="BQ8" t="s">
        <v>62</v>
      </c>
      <c r="BR8">
        <v>1</v>
      </c>
      <c r="BS8">
        <v>1</v>
      </c>
      <c r="BT8" t="str">
        <f t="shared" si="0"/>
        <v>0, 37, 37, 40, 28, 26, 45, 30, 52, 28, 46, 43, 43, 30, 39, 45, 52, 41, 34, 49, 30, 37, 52, 34, 31</v>
      </c>
    </row>
    <row r="9" spans="1:72" x14ac:dyDescent="0.3">
      <c r="A9" t="s">
        <v>43</v>
      </c>
      <c r="B9" t="s">
        <v>34</v>
      </c>
      <c r="C9" t="s">
        <v>38</v>
      </c>
      <c r="D9" t="s">
        <v>36</v>
      </c>
      <c r="E9" t="s">
        <v>37</v>
      </c>
      <c r="F9" t="s">
        <v>31</v>
      </c>
      <c r="G9" t="s">
        <v>44</v>
      </c>
      <c r="H9" t="s">
        <v>50</v>
      </c>
      <c r="I9" t="s">
        <v>47</v>
      </c>
      <c r="J9" t="s">
        <v>48</v>
      </c>
      <c r="K9" t="s">
        <v>56</v>
      </c>
      <c r="L9" t="s">
        <v>37</v>
      </c>
      <c r="M9" t="s">
        <v>30</v>
      </c>
      <c r="N9" t="s">
        <v>51</v>
      </c>
      <c r="O9" t="s">
        <v>34</v>
      </c>
      <c r="P9" t="s">
        <v>56</v>
      </c>
      <c r="Q9" t="s">
        <v>43</v>
      </c>
      <c r="R9" t="s">
        <v>44</v>
      </c>
      <c r="S9" t="s">
        <v>56</v>
      </c>
      <c r="T9" t="s">
        <v>47</v>
      </c>
      <c r="U9" t="s">
        <v>44</v>
      </c>
      <c r="V9" t="s">
        <v>44</v>
      </c>
      <c r="W9" t="s">
        <v>49</v>
      </c>
      <c r="X9" t="s">
        <v>48</v>
      </c>
      <c r="Y9" t="s">
        <v>59</v>
      </c>
      <c r="Z9" t="s">
        <v>38</v>
      </c>
      <c r="AA9" t="s">
        <v>49</v>
      </c>
      <c r="AB9" t="s">
        <v>56</v>
      </c>
      <c r="AC9" t="s">
        <v>38</v>
      </c>
      <c r="AD9" t="s">
        <v>48</v>
      </c>
      <c r="AH9">
        <f t="shared" si="1"/>
        <v>30</v>
      </c>
      <c r="AI9" cm="1">
        <f t="array" ref="AI9">VLOOKUP(TRUE, CHOOSE({1,2}, EXACT(A9, 'Letter Encoding'!$A:$A), 'Letter Encoding'!$C:$C), 2, FALSE)</f>
        <v>39</v>
      </c>
      <c r="AJ9" cm="1">
        <f t="array" ref="AJ9">VLOOKUP(TRUE, CHOOSE({1,2}, EXACT(B9, 'Letter Encoding'!$A:$A), 'Letter Encoding'!$C:$C), 2, FALSE)</f>
        <v>30</v>
      </c>
      <c r="AK9" cm="1">
        <f t="array" ref="AK9">VLOOKUP(TRUE, CHOOSE({1,2}, EXACT(C9, 'Letter Encoding'!$A:$A), 'Letter Encoding'!$C:$C), 2, FALSE)</f>
        <v>34</v>
      </c>
      <c r="AL9" cm="1">
        <f t="array" ref="AL9">VLOOKUP(TRUE, CHOOSE({1,2}, EXACT(D9, 'Letter Encoding'!$A:$A), 'Letter Encoding'!$C:$C), 2, FALSE)</f>
        <v>32</v>
      </c>
      <c r="AM9" cm="1">
        <f t="array" ref="AM9">VLOOKUP(TRUE, CHOOSE({1,2}, EXACT(E9, 'Letter Encoding'!$A:$A), 'Letter Encoding'!$C:$C), 2, FALSE)</f>
        <v>33</v>
      </c>
      <c r="AN9" cm="1">
        <f t="array" ref="AN9">VLOOKUP(TRUE, CHOOSE({1,2}, EXACT(F9, 'Letter Encoding'!$A:$A), 'Letter Encoding'!$C:$C), 2, FALSE)</f>
        <v>27</v>
      </c>
      <c r="AO9" cm="1">
        <f t="array" ref="AO9">VLOOKUP(TRUE, CHOOSE({1,2}, EXACT(G9, 'Letter Encoding'!$A:$A), 'Letter Encoding'!$C:$C), 2, FALSE)</f>
        <v>40</v>
      </c>
      <c r="AP9" cm="1">
        <f t="array" ref="AP9">VLOOKUP(TRUE, CHOOSE({1,2}, EXACT(H9, 'Letter Encoding'!$A:$A), 'Letter Encoding'!$C:$C), 2, FALSE)</f>
        <v>46</v>
      </c>
      <c r="AQ9" cm="1">
        <f t="array" ref="AQ9">VLOOKUP(TRUE, CHOOSE({1,2}, EXACT(I9, 'Letter Encoding'!$A:$A), 'Letter Encoding'!$C:$C), 2, FALSE)</f>
        <v>43</v>
      </c>
      <c r="AR9" cm="1">
        <f t="array" ref="AR9">VLOOKUP(TRUE, CHOOSE({1,2}, EXACT(J9, 'Letter Encoding'!$A:$A), 'Letter Encoding'!$C:$C), 2, FALSE)</f>
        <v>44</v>
      </c>
      <c r="AS9" cm="1">
        <f t="array" ref="AS9">VLOOKUP(TRUE, CHOOSE({1,2}, EXACT(K9, 'Letter Encoding'!$A:$A), 'Letter Encoding'!$C:$C), 2, FALSE)</f>
        <v>52</v>
      </c>
      <c r="AT9" cm="1">
        <f t="array" ref="AT9">VLOOKUP(TRUE, CHOOSE({1,2}, EXACT(L9, 'Letter Encoding'!$A:$A), 'Letter Encoding'!$C:$C), 2, FALSE)</f>
        <v>33</v>
      </c>
      <c r="AU9" cm="1">
        <f t="array" ref="AU9">VLOOKUP(TRUE, CHOOSE({1,2}, EXACT(M9, 'Letter Encoding'!$A:$A), 'Letter Encoding'!$C:$C), 2, FALSE)</f>
        <v>26</v>
      </c>
      <c r="AV9" cm="1">
        <f t="array" ref="AV9">VLOOKUP(TRUE, CHOOSE({1,2}, EXACT(N9, 'Letter Encoding'!$A:$A), 'Letter Encoding'!$C:$C), 2, FALSE)</f>
        <v>47</v>
      </c>
      <c r="AW9" cm="1">
        <f t="array" ref="AW9">VLOOKUP(TRUE, CHOOSE({1,2}, EXACT(O9, 'Letter Encoding'!$A:$A), 'Letter Encoding'!$C:$C), 2, FALSE)</f>
        <v>30</v>
      </c>
      <c r="AX9" cm="1">
        <f t="array" ref="AX9">VLOOKUP(TRUE, CHOOSE({1,2}, EXACT(P9, 'Letter Encoding'!$A:$A), 'Letter Encoding'!$C:$C), 2, FALSE)</f>
        <v>52</v>
      </c>
      <c r="AY9" cm="1">
        <f t="array" ref="AY9">VLOOKUP(TRUE, CHOOSE({1,2}, EXACT(Q9, 'Letter Encoding'!$A:$A), 'Letter Encoding'!$C:$C), 2, FALSE)</f>
        <v>39</v>
      </c>
      <c r="AZ9" cm="1">
        <f t="array" ref="AZ9">VLOOKUP(TRUE, CHOOSE({1,2}, EXACT(R9, 'Letter Encoding'!$A:$A), 'Letter Encoding'!$C:$C), 2, FALSE)</f>
        <v>40</v>
      </c>
      <c r="BA9" cm="1">
        <f t="array" ref="BA9">VLOOKUP(TRUE, CHOOSE({1,2}, EXACT(S9, 'Letter Encoding'!$A:$A), 'Letter Encoding'!$C:$C), 2, FALSE)</f>
        <v>52</v>
      </c>
      <c r="BB9" cm="1">
        <f t="array" ref="BB9">VLOOKUP(TRUE, CHOOSE({1,2}, EXACT(T9, 'Letter Encoding'!$A:$A), 'Letter Encoding'!$C:$C), 2, FALSE)</f>
        <v>43</v>
      </c>
      <c r="BC9" cm="1">
        <f t="array" ref="BC9">VLOOKUP(TRUE, CHOOSE({1,2}, EXACT(U9, 'Letter Encoding'!$A:$A), 'Letter Encoding'!$C:$C), 2, FALSE)</f>
        <v>40</v>
      </c>
      <c r="BD9" cm="1">
        <f t="array" ref="BD9">VLOOKUP(TRUE, CHOOSE({1,2}, EXACT(V9, 'Letter Encoding'!$A:$A), 'Letter Encoding'!$C:$C), 2, FALSE)</f>
        <v>40</v>
      </c>
      <c r="BE9" cm="1">
        <f t="array" ref="BE9">VLOOKUP(TRUE, CHOOSE({1,2}, EXACT(W9, 'Letter Encoding'!$A:$A), 'Letter Encoding'!$C:$C), 2, FALSE)</f>
        <v>45</v>
      </c>
      <c r="BF9" cm="1">
        <f t="array" ref="BF9">VLOOKUP(TRUE, CHOOSE({1,2}, EXACT(X9, 'Letter Encoding'!$A:$A), 'Letter Encoding'!$C:$C), 2, FALSE)</f>
        <v>44</v>
      </c>
      <c r="BG9" cm="1">
        <f t="array" ref="BG9">VLOOKUP(TRUE, CHOOSE({1,2}, EXACT(Y9, 'Letter Encoding'!$A:$A), 'Letter Encoding'!$C:$C), 2, FALSE)</f>
        <v>55</v>
      </c>
      <c r="BH9" cm="1">
        <f t="array" ref="BH9">VLOOKUP(TRUE, CHOOSE({1,2}, EXACT(Z9, 'Letter Encoding'!$A:$A), 'Letter Encoding'!$C:$C), 2, FALSE)</f>
        <v>34</v>
      </c>
      <c r="BI9" cm="1">
        <f t="array" ref="BI9">VLOOKUP(TRUE, CHOOSE({1,2}, EXACT(AA9, 'Letter Encoding'!$A:$A), 'Letter Encoding'!$C:$C), 2, FALSE)</f>
        <v>45</v>
      </c>
      <c r="BJ9" cm="1">
        <f t="array" ref="BJ9">VLOOKUP(TRUE, CHOOSE({1,2}, EXACT(AB9, 'Letter Encoding'!$A:$A), 'Letter Encoding'!$C:$C), 2, FALSE)</f>
        <v>52</v>
      </c>
      <c r="BK9" cm="1">
        <f t="array" ref="BK9">VLOOKUP(TRUE, CHOOSE({1,2}, EXACT(AC9, 'Letter Encoding'!$A:$A), 'Letter Encoding'!$C:$C), 2, FALSE)</f>
        <v>34</v>
      </c>
      <c r="BL9" cm="1">
        <f t="array" ref="BL9">VLOOKUP(TRUE, CHOOSE({1,2}, EXACT(AD9, 'Letter Encoding'!$A:$A), 'Letter Encoding'!$C:$C), 2, FALSE)</f>
        <v>44</v>
      </c>
      <c r="BP9">
        <f t="shared" si="2"/>
        <v>30</v>
      </c>
      <c r="BS9">
        <v>2</v>
      </c>
      <c r="BT9" t="str">
        <f t="shared" si="0"/>
        <v>39, 30, 34, 32, 33, 27, 40, 46, 43, 44, 52, 33, 26, 47, 30, 52, 39, 40, 52, 43, 40, 40, 45, 44, 55, 34, 45, 52, 34, 44</v>
      </c>
    </row>
    <row r="10" spans="1:72" x14ac:dyDescent="0.3">
      <c r="A10" t="s">
        <v>30</v>
      </c>
      <c r="B10" t="s">
        <v>56</v>
      </c>
      <c r="C10" t="s">
        <v>43</v>
      </c>
      <c r="D10" t="s">
        <v>34</v>
      </c>
      <c r="E10" t="s">
        <v>52</v>
      </c>
      <c r="F10" t="s">
        <v>56</v>
      </c>
      <c r="G10" t="s">
        <v>32</v>
      </c>
      <c r="H10" t="s">
        <v>44</v>
      </c>
      <c r="I10" t="s">
        <v>42</v>
      </c>
      <c r="J10" t="s">
        <v>45</v>
      </c>
      <c r="K10" t="s">
        <v>44</v>
      </c>
      <c r="L10" t="s">
        <v>43</v>
      </c>
      <c r="M10" t="s">
        <v>34</v>
      </c>
      <c r="N10" t="s">
        <v>43</v>
      </c>
      <c r="O10" t="s">
        <v>49</v>
      </c>
      <c r="P10" t="s">
        <v>60</v>
      </c>
      <c r="Q10" t="s">
        <v>58</v>
      </c>
      <c r="AH10">
        <f t="shared" si="1"/>
        <v>17</v>
      </c>
      <c r="AI10" cm="1">
        <f t="array" ref="AI10">VLOOKUP(TRUE, CHOOSE({1,2}, EXACT(A10, 'Letter Encoding'!$A:$A), 'Letter Encoding'!$C:$C), 2, FALSE)</f>
        <v>26</v>
      </c>
      <c r="AJ10" cm="1">
        <f t="array" ref="AJ10">VLOOKUP(TRUE, CHOOSE({1,2}, EXACT(B10, 'Letter Encoding'!$A:$A), 'Letter Encoding'!$C:$C), 2, FALSE)</f>
        <v>52</v>
      </c>
      <c r="AK10" cm="1">
        <f t="array" ref="AK10">VLOOKUP(TRUE, CHOOSE({1,2}, EXACT(C10, 'Letter Encoding'!$A:$A), 'Letter Encoding'!$C:$C), 2, FALSE)</f>
        <v>39</v>
      </c>
      <c r="AL10" cm="1">
        <f t="array" ref="AL10">VLOOKUP(TRUE, CHOOSE({1,2}, EXACT(D10, 'Letter Encoding'!$A:$A), 'Letter Encoding'!$C:$C), 2, FALSE)</f>
        <v>30</v>
      </c>
      <c r="AM10" cm="1">
        <f t="array" ref="AM10">VLOOKUP(TRUE, CHOOSE({1,2}, EXACT(E10, 'Letter Encoding'!$A:$A), 'Letter Encoding'!$C:$C), 2, FALSE)</f>
        <v>48</v>
      </c>
      <c r="AN10" cm="1">
        <f t="array" ref="AN10">VLOOKUP(TRUE, CHOOSE({1,2}, EXACT(F10, 'Letter Encoding'!$A:$A), 'Letter Encoding'!$C:$C), 2, FALSE)</f>
        <v>52</v>
      </c>
      <c r="AO10" cm="1">
        <f t="array" ref="AO10">VLOOKUP(TRUE, CHOOSE({1,2}, EXACT(G10, 'Letter Encoding'!$A:$A), 'Letter Encoding'!$C:$C), 2, FALSE)</f>
        <v>28</v>
      </c>
      <c r="AP10" cm="1">
        <f t="array" ref="AP10">VLOOKUP(TRUE, CHOOSE({1,2}, EXACT(H10, 'Letter Encoding'!$A:$A), 'Letter Encoding'!$C:$C), 2, FALSE)</f>
        <v>40</v>
      </c>
      <c r="AQ10" cm="1">
        <f t="array" ref="AQ10">VLOOKUP(TRUE, CHOOSE({1,2}, EXACT(I10, 'Letter Encoding'!$A:$A), 'Letter Encoding'!$C:$C), 2, FALSE)</f>
        <v>38</v>
      </c>
      <c r="AR10" cm="1">
        <f t="array" ref="AR10">VLOOKUP(TRUE, CHOOSE({1,2}, EXACT(J10, 'Letter Encoding'!$A:$A), 'Letter Encoding'!$C:$C), 2, FALSE)</f>
        <v>41</v>
      </c>
      <c r="AS10" cm="1">
        <f t="array" ref="AS10">VLOOKUP(TRUE, CHOOSE({1,2}, EXACT(K10, 'Letter Encoding'!$A:$A), 'Letter Encoding'!$C:$C), 2, FALSE)</f>
        <v>40</v>
      </c>
      <c r="AT10" cm="1">
        <f t="array" ref="AT10">VLOOKUP(TRUE, CHOOSE({1,2}, EXACT(L10, 'Letter Encoding'!$A:$A), 'Letter Encoding'!$C:$C), 2, FALSE)</f>
        <v>39</v>
      </c>
      <c r="AU10" cm="1">
        <f t="array" ref="AU10">VLOOKUP(TRUE, CHOOSE({1,2}, EXACT(M10, 'Letter Encoding'!$A:$A), 'Letter Encoding'!$C:$C), 2, FALSE)</f>
        <v>30</v>
      </c>
      <c r="AV10" cm="1">
        <f t="array" ref="AV10">VLOOKUP(TRUE, CHOOSE({1,2}, EXACT(N10, 'Letter Encoding'!$A:$A), 'Letter Encoding'!$C:$C), 2, FALSE)</f>
        <v>39</v>
      </c>
      <c r="AW10" cm="1">
        <f t="array" ref="AW10">VLOOKUP(TRUE, CHOOSE({1,2}, EXACT(O10, 'Letter Encoding'!$A:$A), 'Letter Encoding'!$C:$C), 2, FALSE)</f>
        <v>45</v>
      </c>
      <c r="AX10" cm="1">
        <f t="array" ref="AX10">VLOOKUP(TRUE, CHOOSE({1,2}, EXACT(P10, 'Letter Encoding'!$A:$A), 'Letter Encoding'!$C:$C), 2, FALSE)</f>
        <v>56</v>
      </c>
      <c r="AY10" cm="1">
        <f t="array" ref="AY10">VLOOKUP(TRUE, CHOOSE({1,2}, EXACT(Q10, 'Letter Encoding'!$A:$A), 'Letter Encoding'!$C:$C), 2, FALSE)</f>
        <v>54</v>
      </c>
      <c r="BP10">
        <f t="shared" si="2"/>
        <v>17</v>
      </c>
      <c r="BS10">
        <v>3</v>
      </c>
      <c r="BT10" t="str">
        <f t="shared" si="0"/>
        <v>26, 52, 39, 30, 48, 52, 28, 40, 38, 41, 40, 39, 30, 39, 45, 56, 54</v>
      </c>
    </row>
    <row r="11" spans="1:72" x14ac:dyDescent="0.3">
      <c r="A11" t="s">
        <v>8</v>
      </c>
      <c r="B11" t="s">
        <v>41</v>
      </c>
      <c r="C11" t="s">
        <v>48</v>
      </c>
      <c r="D11" t="s">
        <v>34</v>
      </c>
      <c r="E11" t="s">
        <v>57</v>
      </c>
      <c r="F11" t="s">
        <v>56</v>
      </c>
      <c r="G11" t="s">
        <v>45</v>
      </c>
      <c r="H11" t="s">
        <v>38</v>
      </c>
      <c r="I11" t="s">
        <v>32</v>
      </c>
      <c r="J11" t="s">
        <v>40</v>
      </c>
      <c r="K11" t="s">
        <v>56</v>
      </c>
      <c r="L11" t="s">
        <v>30</v>
      </c>
      <c r="M11" t="s">
        <v>56</v>
      </c>
      <c r="N11" t="s">
        <v>43</v>
      </c>
      <c r="O11" t="s">
        <v>34</v>
      </c>
      <c r="P11" t="s">
        <v>38</v>
      </c>
      <c r="Q11" t="s">
        <v>36</v>
      </c>
      <c r="R11" t="s">
        <v>37</v>
      </c>
      <c r="S11" t="s">
        <v>31</v>
      </c>
      <c r="T11" t="s">
        <v>44</v>
      </c>
      <c r="U11" t="s">
        <v>50</v>
      </c>
      <c r="V11" t="s">
        <v>47</v>
      </c>
      <c r="W11" t="s">
        <v>38</v>
      </c>
      <c r="X11" t="s">
        <v>43</v>
      </c>
      <c r="Y11" t="s">
        <v>36</v>
      </c>
      <c r="AH11">
        <f t="shared" si="1"/>
        <v>25</v>
      </c>
      <c r="AI11" cm="1">
        <f t="array" ref="AI11">VLOOKUP(TRUE, CHOOSE({1,2}, EXACT(A11, 'Letter Encoding'!$A:$A), 'Letter Encoding'!$C:$C), 2, FALSE)</f>
        <v>4</v>
      </c>
      <c r="AJ11" cm="1">
        <f t="array" ref="AJ11">VLOOKUP(TRUE, CHOOSE({1,2}, EXACT(B11, 'Letter Encoding'!$A:$A), 'Letter Encoding'!$C:$C), 2, FALSE)</f>
        <v>37</v>
      </c>
      <c r="AK11" cm="1">
        <f t="array" ref="AK11">VLOOKUP(TRUE, CHOOSE({1,2}, EXACT(C11, 'Letter Encoding'!$A:$A), 'Letter Encoding'!$C:$C), 2, FALSE)</f>
        <v>44</v>
      </c>
      <c r="AL11" cm="1">
        <f t="array" ref="AL11">VLOOKUP(TRUE, CHOOSE({1,2}, EXACT(D11, 'Letter Encoding'!$A:$A), 'Letter Encoding'!$C:$C), 2, FALSE)</f>
        <v>30</v>
      </c>
      <c r="AM11" cm="1">
        <f t="array" ref="AM11">VLOOKUP(TRUE, CHOOSE({1,2}, EXACT(E11, 'Letter Encoding'!$A:$A), 'Letter Encoding'!$C:$C), 2, FALSE)</f>
        <v>53</v>
      </c>
      <c r="AN11" cm="1">
        <f t="array" ref="AN11">VLOOKUP(TRUE, CHOOSE({1,2}, EXACT(F11, 'Letter Encoding'!$A:$A), 'Letter Encoding'!$C:$C), 2, FALSE)</f>
        <v>52</v>
      </c>
      <c r="AO11" cm="1">
        <f t="array" ref="AO11">VLOOKUP(TRUE, CHOOSE({1,2}, EXACT(G11, 'Letter Encoding'!$A:$A), 'Letter Encoding'!$C:$C), 2, FALSE)</f>
        <v>41</v>
      </c>
      <c r="AP11" cm="1">
        <f t="array" ref="AP11">VLOOKUP(TRUE, CHOOSE({1,2}, EXACT(H11, 'Letter Encoding'!$A:$A), 'Letter Encoding'!$C:$C), 2, FALSE)</f>
        <v>34</v>
      </c>
      <c r="AQ11" cm="1">
        <f t="array" ref="AQ11">VLOOKUP(TRUE, CHOOSE({1,2}, EXACT(I11, 'Letter Encoding'!$A:$A), 'Letter Encoding'!$C:$C), 2, FALSE)</f>
        <v>28</v>
      </c>
      <c r="AR11" cm="1">
        <f t="array" ref="AR11">VLOOKUP(TRUE, CHOOSE({1,2}, EXACT(J11, 'Letter Encoding'!$A:$A), 'Letter Encoding'!$C:$C), 2, FALSE)</f>
        <v>36</v>
      </c>
      <c r="AS11" cm="1">
        <f t="array" ref="AS11">VLOOKUP(TRUE, CHOOSE({1,2}, EXACT(K11, 'Letter Encoding'!$A:$A), 'Letter Encoding'!$C:$C), 2, FALSE)</f>
        <v>52</v>
      </c>
      <c r="AT11" cm="1">
        <f t="array" ref="AT11">VLOOKUP(TRUE, CHOOSE({1,2}, EXACT(L11, 'Letter Encoding'!$A:$A), 'Letter Encoding'!$C:$C), 2, FALSE)</f>
        <v>26</v>
      </c>
      <c r="AU11" cm="1">
        <f t="array" ref="AU11">VLOOKUP(TRUE, CHOOSE({1,2}, EXACT(M11, 'Letter Encoding'!$A:$A), 'Letter Encoding'!$C:$C), 2, FALSE)</f>
        <v>52</v>
      </c>
      <c r="AV11" cm="1">
        <f t="array" ref="AV11">VLOOKUP(TRUE, CHOOSE({1,2}, EXACT(N11, 'Letter Encoding'!$A:$A), 'Letter Encoding'!$C:$C), 2, FALSE)</f>
        <v>39</v>
      </c>
      <c r="AW11" cm="1">
        <f t="array" ref="AW11">VLOOKUP(TRUE, CHOOSE({1,2}, EXACT(O11, 'Letter Encoding'!$A:$A), 'Letter Encoding'!$C:$C), 2, FALSE)</f>
        <v>30</v>
      </c>
      <c r="AX11" cm="1">
        <f t="array" ref="AX11">VLOOKUP(TRUE, CHOOSE({1,2}, EXACT(P11, 'Letter Encoding'!$A:$A), 'Letter Encoding'!$C:$C), 2, FALSE)</f>
        <v>34</v>
      </c>
      <c r="AY11" cm="1">
        <f t="array" ref="AY11">VLOOKUP(TRUE, CHOOSE({1,2}, EXACT(Q11, 'Letter Encoding'!$A:$A), 'Letter Encoding'!$C:$C), 2, FALSE)</f>
        <v>32</v>
      </c>
      <c r="AZ11" cm="1">
        <f t="array" ref="AZ11">VLOOKUP(TRUE, CHOOSE({1,2}, EXACT(R11, 'Letter Encoding'!$A:$A), 'Letter Encoding'!$C:$C), 2, FALSE)</f>
        <v>33</v>
      </c>
      <c r="BA11" cm="1">
        <f t="array" ref="BA11">VLOOKUP(TRUE, CHOOSE({1,2}, EXACT(S11, 'Letter Encoding'!$A:$A), 'Letter Encoding'!$C:$C), 2, FALSE)</f>
        <v>27</v>
      </c>
      <c r="BB11" cm="1">
        <f t="array" ref="BB11">VLOOKUP(TRUE, CHOOSE({1,2}, EXACT(T11, 'Letter Encoding'!$A:$A), 'Letter Encoding'!$C:$C), 2, FALSE)</f>
        <v>40</v>
      </c>
      <c r="BC11" cm="1">
        <f t="array" ref="BC11">VLOOKUP(TRUE, CHOOSE({1,2}, EXACT(U11, 'Letter Encoding'!$A:$A), 'Letter Encoding'!$C:$C), 2, FALSE)</f>
        <v>46</v>
      </c>
      <c r="BD11" cm="1">
        <f t="array" ref="BD11">VLOOKUP(TRUE, CHOOSE({1,2}, EXACT(V11, 'Letter Encoding'!$A:$A), 'Letter Encoding'!$C:$C), 2, FALSE)</f>
        <v>43</v>
      </c>
      <c r="BE11" cm="1">
        <f t="array" ref="BE11">VLOOKUP(TRUE, CHOOSE({1,2}, EXACT(W11, 'Letter Encoding'!$A:$A), 'Letter Encoding'!$C:$C), 2, FALSE)</f>
        <v>34</v>
      </c>
      <c r="BF11" cm="1">
        <f t="array" ref="BF11">VLOOKUP(TRUE, CHOOSE({1,2}, EXACT(X11, 'Letter Encoding'!$A:$A), 'Letter Encoding'!$C:$C), 2, FALSE)</f>
        <v>39</v>
      </c>
      <c r="BG11" cm="1">
        <f t="array" ref="BG11">VLOOKUP(TRUE, CHOOSE({1,2}, EXACT(Y11, 'Letter Encoding'!$A:$A), 'Letter Encoding'!$C:$C), 2, FALSE)</f>
        <v>32</v>
      </c>
      <c r="BP11">
        <f t="shared" si="2"/>
        <v>25</v>
      </c>
      <c r="BR11">
        <v>2</v>
      </c>
      <c r="BS11">
        <v>4</v>
      </c>
      <c r="BT11" t="str">
        <f t="shared" si="0"/>
        <v>4, 37, 44, 30, 53, 52, 41, 34, 28, 36, 52, 26, 52, 39, 30, 34, 32, 33, 27, 40, 46, 43, 34, 39, 32</v>
      </c>
    </row>
    <row r="12" spans="1:72" x14ac:dyDescent="0.3">
      <c r="A12" t="s">
        <v>32</v>
      </c>
      <c r="B12" t="s">
        <v>44</v>
      </c>
      <c r="C12" t="s">
        <v>42</v>
      </c>
      <c r="D12" t="s">
        <v>45</v>
      </c>
      <c r="E12" t="s">
        <v>44</v>
      </c>
      <c r="F12" t="s">
        <v>43</v>
      </c>
      <c r="G12" t="s">
        <v>34</v>
      </c>
      <c r="H12" t="s">
        <v>43</v>
      </c>
      <c r="I12" t="s">
        <v>49</v>
      </c>
      <c r="J12" t="s">
        <v>56</v>
      </c>
      <c r="K12" t="s">
        <v>30</v>
      </c>
      <c r="L12" t="s">
        <v>43</v>
      </c>
      <c r="M12" t="s">
        <v>33</v>
      </c>
      <c r="N12" t="s">
        <v>56</v>
      </c>
      <c r="O12" t="s">
        <v>50</v>
      </c>
      <c r="P12" t="s">
        <v>43</v>
      </c>
      <c r="Q12" t="s">
        <v>38</v>
      </c>
      <c r="R12" t="s">
        <v>44</v>
      </c>
      <c r="S12" t="s">
        <v>43</v>
      </c>
      <c r="T12" t="s">
        <v>56</v>
      </c>
      <c r="U12" t="s">
        <v>38</v>
      </c>
      <c r="V12" t="s">
        <v>43</v>
      </c>
      <c r="W12" t="s">
        <v>49</v>
      </c>
      <c r="X12" t="s">
        <v>44</v>
      </c>
      <c r="AH12">
        <f t="shared" si="1"/>
        <v>24</v>
      </c>
      <c r="AI12" cm="1">
        <f t="array" ref="AI12">VLOOKUP(TRUE, CHOOSE({1,2}, EXACT(A12, 'Letter Encoding'!$A:$A), 'Letter Encoding'!$C:$C), 2, FALSE)</f>
        <v>28</v>
      </c>
      <c r="AJ12" cm="1">
        <f t="array" ref="AJ12">VLOOKUP(TRUE, CHOOSE({1,2}, EXACT(B12, 'Letter Encoding'!$A:$A), 'Letter Encoding'!$C:$C), 2, FALSE)</f>
        <v>40</v>
      </c>
      <c r="AK12" cm="1">
        <f t="array" ref="AK12">VLOOKUP(TRUE, CHOOSE({1,2}, EXACT(C12, 'Letter Encoding'!$A:$A), 'Letter Encoding'!$C:$C), 2, FALSE)</f>
        <v>38</v>
      </c>
      <c r="AL12" cm="1">
        <f t="array" ref="AL12">VLOOKUP(TRUE, CHOOSE({1,2}, EXACT(D12, 'Letter Encoding'!$A:$A), 'Letter Encoding'!$C:$C), 2, FALSE)</f>
        <v>41</v>
      </c>
      <c r="AM12" cm="1">
        <f t="array" ref="AM12">VLOOKUP(TRUE, CHOOSE({1,2}, EXACT(E12, 'Letter Encoding'!$A:$A), 'Letter Encoding'!$C:$C), 2, FALSE)</f>
        <v>40</v>
      </c>
      <c r="AN12" cm="1">
        <f t="array" ref="AN12">VLOOKUP(TRUE, CHOOSE({1,2}, EXACT(F12, 'Letter Encoding'!$A:$A), 'Letter Encoding'!$C:$C), 2, FALSE)</f>
        <v>39</v>
      </c>
      <c r="AO12" cm="1">
        <f t="array" ref="AO12">VLOOKUP(TRUE, CHOOSE({1,2}, EXACT(G12, 'Letter Encoding'!$A:$A), 'Letter Encoding'!$C:$C), 2, FALSE)</f>
        <v>30</v>
      </c>
      <c r="AP12" cm="1">
        <f t="array" ref="AP12">VLOOKUP(TRUE, CHOOSE({1,2}, EXACT(H12, 'Letter Encoding'!$A:$A), 'Letter Encoding'!$C:$C), 2, FALSE)</f>
        <v>39</v>
      </c>
      <c r="AQ12" cm="1">
        <f t="array" ref="AQ12">VLOOKUP(TRUE, CHOOSE({1,2}, EXACT(I12, 'Letter Encoding'!$A:$A), 'Letter Encoding'!$C:$C), 2, FALSE)</f>
        <v>45</v>
      </c>
      <c r="AR12" cm="1">
        <f t="array" ref="AR12">VLOOKUP(TRUE, CHOOSE({1,2}, EXACT(J12, 'Letter Encoding'!$A:$A), 'Letter Encoding'!$C:$C), 2, FALSE)</f>
        <v>52</v>
      </c>
      <c r="AS12" cm="1">
        <f t="array" ref="AS12">VLOOKUP(TRUE, CHOOSE({1,2}, EXACT(K12, 'Letter Encoding'!$A:$A), 'Letter Encoding'!$C:$C), 2, FALSE)</f>
        <v>26</v>
      </c>
      <c r="AT12" cm="1">
        <f t="array" ref="AT12">VLOOKUP(TRUE, CHOOSE({1,2}, EXACT(L12, 'Letter Encoding'!$A:$A), 'Letter Encoding'!$C:$C), 2, FALSE)</f>
        <v>39</v>
      </c>
      <c r="AU12" cm="1">
        <f t="array" ref="AU12">VLOOKUP(TRUE, CHOOSE({1,2}, EXACT(M12, 'Letter Encoding'!$A:$A), 'Letter Encoding'!$C:$C), 2, FALSE)</f>
        <v>29</v>
      </c>
      <c r="AV12" cm="1">
        <f t="array" ref="AV12">VLOOKUP(TRUE, CHOOSE({1,2}, EXACT(N12, 'Letter Encoding'!$A:$A), 'Letter Encoding'!$C:$C), 2, FALSE)</f>
        <v>52</v>
      </c>
      <c r="AW12" cm="1">
        <f t="array" ref="AW12">VLOOKUP(TRUE, CHOOSE({1,2}, EXACT(O12, 'Letter Encoding'!$A:$A), 'Letter Encoding'!$C:$C), 2, FALSE)</f>
        <v>46</v>
      </c>
      <c r="AX12" cm="1">
        <f t="array" ref="AX12">VLOOKUP(TRUE, CHOOSE({1,2}, EXACT(P12, 'Letter Encoding'!$A:$A), 'Letter Encoding'!$C:$C), 2, FALSE)</f>
        <v>39</v>
      </c>
      <c r="AY12" cm="1">
        <f t="array" ref="AY12">VLOOKUP(TRUE, CHOOSE({1,2}, EXACT(Q12, 'Letter Encoding'!$A:$A), 'Letter Encoding'!$C:$C), 2, FALSE)</f>
        <v>34</v>
      </c>
      <c r="AZ12" cm="1">
        <f t="array" ref="AZ12">VLOOKUP(TRUE, CHOOSE({1,2}, EXACT(R12, 'Letter Encoding'!$A:$A), 'Letter Encoding'!$C:$C), 2, FALSE)</f>
        <v>40</v>
      </c>
      <c r="BA12" cm="1">
        <f t="array" ref="BA12">VLOOKUP(TRUE, CHOOSE({1,2}, EXACT(S12, 'Letter Encoding'!$A:$A), 'Letter Encoding'!$C:$C), 2, FALSE)</f>
        <v>39</v>
      </c>
      <c r="BB12" cm="1">
        <f t="array" ref="BB12">VLOOKUP(TRUE, CHOOSE({1,2}, EXACT(T12, 'Letter Encoding'!$A:$A), 'Letter Encoding'!$C:$C), 2, FALSE)</f>
        <v>52</v>
      </c>
      <c r="BC12" cm="1">
        <f t="array" ref="BC12">VLOOKUP(TRUE, CHOOSE({1,2}, EXACT(U12, 'Letter Encoding'!$A:$A), 'Letter Encoding'!$C:$C), 2, FALSE)</f>
        <v>34</v>
      </c>
      <c r="BD12" cm="1">
        <f t="array" ref="BD12">VLOOKUP(TRUE, CHOOSE({1,2}, EXACT(V12, 'Letter Encoding'!$A:$A), 'Letter Encoding'!$C:$C), 2, FALSE)</f>
        <v>39</v>
      </c>
      <c r="BE12" cm="1">
        <f t="array" ref="BE12">VLOOKUP(TRUE, CHOOSE({1,2}, EXACT(W12, 'Letter Encoding'!$A:$A), 'Letter Encoding'!$C:$C), 2, FALSE)</f>
        <v>45</v>
      </c>
      <c r="BF12" cm="1">
        <f t="array" ref="BF12">VLOOKUP(TRUE, CHOOSE({1,2}, EXACT(X12, 'Letter Encoding'!$A:$A), 'Letter Encoding'!$C:$C), 2, FALSE)</f>
        <v>40</v>
      </c>
      <c r="BP12">
        <f t="shared" si="2"/>
        <v>24</v>
      </c>
      <c r="BS12">
        <v>5</v>
      </c>
      <c r="BT12" t="str">
        <f t="shared" si="0"/>
        <v>28, 40, 38, 41, 40, 39, 30, 39, 45, 52, 26, 39, 29, 52, 46, 39, 34, 40, 39, 52, 34, 39, 45, 40</v>
      </c>
    </row>
    <row r="13" spans="1:72" x14ac:dyDescent="0.3">
      <c r="A13" t="s">
        <v>44</v>
      </c>
      <c r="B13" t="s">
        <v>43</v>
      </c>
      <c r="C13" t="s">
        <v>34</v>
      </c>
      <c r="D13" t="s">
        <v>56</v>
      </c>
      <c r="E13" t="s">
        <v>32</v>
      </c>
      <c r="F13" t="s">
        <v>44</v>
      </c>
      <c r="G13" t="s">
        <v>42</v>
      </c>
      <c r="H13" t="s">
        <v>45</v>
      </c>
      <c r="I13" t="s">
        <v>44</v>
      </c>
      <c r="J13" t="s">
        <v>43</v>
      </c>
      <c r="K13" t="s">
        <v>34</v>
      </c>
      <c r="L13" t="s">
        <v>43</v>
      </c>
      <c r="M13" t="s">
        <v>49</v>
      </c>
      <c r="N13" t="s">
        <v>58</v>
      </c>
      <c r="AH13">
        <f t="shared" si="1"/>
        <v>14</v>
      </c>
      <c r="AI13" cm="1">
        <f t="array" ref="AI13">VLOOKUP(TRUE, CHOOSE({1,2}, EXACT(A13, 'Letter Encoding'!$A:$A), 'Letter Encoding'!$C:$C), 2, FALSE)</f>
        <v>40</v>
      </c>
      <c r="AJ13" cm="1">
        <f t="array" ref="AJ13">VLOOKUP(TRUE, CHOOSE({1,2}, EXACT(B13, 'Letter Encoding'!$A:$A), 'Letter Encoding'!$C:$C), 2, FALSE)</f>
        <v>39</v>
      </c>
      <c r="AK13" cm="1">
        <f t="array" ref="AK13">VLOOKUP(TRUE, CHOOSE({1,2}, EXACT(C13, 'Letter Encoding'!$A:$A), 'Letter Encoding'!$C:$C), 2, FALSE)</f>
        <v>30</v>
      </c>
      <c r="AL13" cm="1">
        <f t="array" ref="AL13">VLOOKUP(TRUE, CHOOSE({1,2}, EXACT(D13, 'Letter Encoding'!$A:$A), 'Letter Encoding'!$C:$C), 2, FALSE)</f>
        <v>52</v>
      </c>
      <c r="AM13" cm="1">
        <f t="array" ref="AM13">VLOOKUP(TRUE, CHOOSE({1,2}, EXACT(E13, 'Letter Encoding'!$A:$A), 'Letter Encoding'!$C:$C), 2, FALSE)</f>
        <v>28</v>
      </c>
      <c r="AN13" cm="1">
        <f t="array" ref="AN13">VLOOKUP(TRUE, CHOOSE({1,2}, EXACT(F13, 'Letter Encoding'!$A:$A), 'Letter Encoding'!$C:$C), 2, FALSE)</f>
        <v>40</v>
      </c>
      <c r="AO13" cm="1">
        <f t="array" ref="AO13">VLOOKUP(TRUE, CHOOSE({1,2}, EXACT(G13, 'Letter Encoding'!$A:$A), 'Letter Encoding'!$C:$C), 2, FALSE)</f>
        <v>38</v>
      </c>
      <c r="AP13" cm="1">
        <f t="array" ref="AP13">VLOOKUP(TRUE, CHOOSE({1,2}, EXACT(H13, 'Letter Encoding'!$A:$A), 'Letter Encoding'!$C:$C), 2, FALSE)</f>
        <v>41</v>
      </c>
      <c r="AQ13" cm="1">
        <f t="array" ref="AQ13">VLOOKUP(TRUE, CHOOSE({1,2}, EXACT(I13, 'Letter Encoding'!$A:$A), 'Letter Encoding'!$C:$C), 2, FALSE)</f>
        <v>40</v>
      </c>
      <c r="AR13" cm="1">
        <f t="array" ref="AR13">VLOOKUP(TRUE, CHOOSE({1,2}, EXACT(J13, 'Letter Encoding'!$A:$A), 'Letter Encoding'!$C:$C), 2, FALSE)</f>
        <v>39</v>
      </c>
      <c r="AS13" cm="1">
        <f t="array" ref="AS13">VLOOKUP(TRUE, CHOOSE({1,2}, EXACT(K13, 'Letter Encoding'!$A:$A), 'Letter Encoding'!$C:$C), 2, FALSE)</f>
        <v>30</v>
      </c>
      <c r="AT13" cm="1">
        <f t="array" ref="AT13">VLOOKUP(TRUE, CHOOSE({1,2}, EXACT(L13, 'Letter Encoding'!$A:$A), 'Letter Encoding'!$C:$C), 2, FALSE)</f>
        <v>39</v>
      </c>
      <c r="AU13" cm="1">
        <f t="array" ref="AU13">VLOOKUP(TRUE, CHOOSE({1,2}, EXACT(M13, 'Letter Encoding'!$A:$A), 'Letter Encoding'!$C:$C), 2, FALSE)</f>
        <v>45</v>
      </c>
      <c r="AV13" cm="1">
        <f t="array" ref="AV13">VLOOKUP(TRUE, CHOOSE({1,2}, EXACT(N13, 'Letter Encoding'!$A:$A), 'Letter Encoding'!$C:$C), 2, FALSE)</f>
        <v>54</v>
      </c>
      <c r="BP13">
        <f t="shared" si="2"/>
        <v>14</v>
      </c>
      <c r="BS13">
        <v>6</v>
      </c>
      <c r="BT13" t="str">
        <f t="shared" si="0"/>
        <v>40, 39, 30, 52, 28, 40, 38, 41, 40, 39, 30, 39, 45, 54</v>
      </c>
    </row>
    <row r="14" spans="1:72" x14ac:dyDescent="0.3">
      <c r="AH14">
        <f t="shared" si="1"/>
        <v>0</v>
      </c>
      <c r="BT14" t="str">
        <f t="shared" si="0"/>
        <v/>
      </c>
    </row>
    <row r="15" spans="1:72" x14ac:dyDescent="0.3">
      <c r="A15" t="s">
        <v>4</v>
      </c>
      <c r="B15" t="s">
        <v>48</v>
      </c>
      <c r="C15" t="s">
        <v>56</v>
      </c>
      <c r="D15" t="s">
        <v>35</v>
      </c>
      <c r="E15" t="s">
        <v>47</v>
      </c>
      <c r="F15" t="s">
        <v>30</v>
      </c>
      <c r="G15" t="s">
        <v>42</v>
      </c>
      <c r="H15" t="s">
        <v>34</v>
      </c>
      <c r="I15" t="s">
        <v>56</v>
      </c>
      <c r="J15" t="s">
        <v>31</v>
      </c>
      <c r="K15" t="s">
        <v>50</v>
      </c>
      <c r="L15" t="s">
        <v>38</v>
      </c>
      <c r="M15" t="s">
        <v>41</v>
      </c>
      <c r="N15" t="s">
        <v>33</v>
      </c>
      <c r="O15" t="s">
        <v>48</v>
      </c>
      <c r="P15" t="s">
        <v>57</v>
      </c>
      <c r="Q15" t="s">
        <v>56</v>
      </c>
      <c r="R15" t="s">
        <v>50</v>
      </c>
      <c r="S15" t="s">
        <v>43</v>
      </c>
      <c r="T15" t="s">
        <v>38</v>
      </c>
      <c r="U15" t="s">
        <v>44</v>
      </c>
      <c r="V15" t="s">
        <v>43</v>
      </c>
      <c r="AH15">
        <f t="shared" si="1"/>
        <v>22</v>
      </c>
      <c r="AI15" cm="1">
        <f t="array" ref="AI15">VLOOKUP(TRUE, CHOOSE({1,2}, EXACT(A15, 'Letter Encoding'!$A:$A), 'Letter Encoding'!$C:$C), 2, FALSE)</f>
        <v>0</v>
      </c>
      <c r="AJ15" cm="1">
        <f t="array" ref="AJ15">VLOOKUP(TRUE, CHOOSE({1,2}, EXACT(B15, 'Letter Encoding'!$A:$A), 'Letter Encoding'!$C:$C), 2, FALSE)</f>
        <v>44</v>
      </c>
      <c r="AK15" cm="1">
        <f t="array" ref="AK15">VLOOKUP(TRUE, CHOOSE({1,2}, EXACT(C15, 'Letter Encoding'!$A:$A), 'Letter Encoding'!$C:$C), 2, FALSE)</f>
        <v>52</v>
      </c>
      <c r="AL15" cm="1">
        <f t="array" ref="AL15">VLOOKUP(TRUE, CHOOSE({1,2}, EXACT(D15, 'Letter Encoding'!$A:$A), 'Letter Encoding'!$C:$C), 2, FALSE)</f>
        <v>31</v>
      </c>
      <c r="AM15" cm="1">
        <f t="array" ref="AM15">VLOOKUP(TRUE, CHOOSE({1,2}, EXACT(E15, 'Letter Encoding'!$A:$A), 'Letter Encoding'!$C:$C), 2, FALSE)</f>
        <v>43</v>
      </c>
      <c r="AN15" cm="1">
        <f t="array" ref="AN15">VLOOKUP(TRUE, CHOOSE({1,2}, EXACT(F15, 'Letter Encoding'!$A:$A), 'Letter Encoding'!$C:$C), 2, FALSE)</f>
        <v>26</v>
      </c>
      <c r="AO15" cm="1">
        <f t="array" ref="AO15">VLOOKUP(TRUE, CHOOSE({1,2}, EXACT(G15, 'Letter Encoding'!$A:$A), 'Letter Encoding'!$C:$C), 2, FALSE)</f>
        <v>38</v>
      </c>
      <c r="AP15" cm="1">
        <f t="array" ref="AP15">VLOOKUP(TRUE, CHOOSE({1,2}, EXACT(H15, 'Letter Encoding'!$A:$A), 'Letter Encoding'!$C:$C), 2, FALSE)</f>
        <v>30</v>
      </c>
      <c r="AQ15" cm="1">
        <f t="array" ref="AQ15">VLOOKUP(TRUE, CHOOSE({1,2}, EXACT(I15, 'Letter Encoding'!$A:$A), 'Letter Encoding'!$C:$C), 2, FALSE)</f>
        <v>52</v>
      </c>
      <c r="AR15" cm="1">
        <f t="array" ref="AR15">VLOOKUP(TRUE, CHOOSE({1,2}, EXACT(J15, 'Letter Encoding'!$A:$A), 'Letter Encoding'!$C:$C), 2, FALSE)</f>
        <v>27</v>
      </c>
      <c r="AS15" cm="1">
        <f t="array" ref="AS15">VLOOKUP(TRUE, CHOOSE({1,2}, EXACT(K15, 'Letter Encoding'!$A:$A), 'Letter Encoding'!$C:$C), 2, FALSE)</f>
        <v>46</v>
      </c>
      <c r="AT15" cm="1">
        <f t="array" ref="AT15">VLOOKUP(TRUE, CHOOSE({1,2}, EXACT(L15, 'Letter Encoding'!$A:$A), 'Letter Encoding'!$C:$C), 2, FALSE)</f>
        <v>34</v>
      </c>
      <c r="AU15" cm="1">
        <f t="array" ref="AU15">VLOOKUP(TRUE, CHOOSE({1,2}, EXACT(M15, 'Letter Encoding'!$A:$A), 'Letter Encoding'!$C:$C), 2, FALSE)</f>
        <v>37</v>
      </c>
      <c r="AV15" cm="1">
        <f t="array" ref="AV15">VLOOKUP(TRUE, CHOOSE({1,2}, EXACT(N15, 'Letter Encoding'!$A:$A), 'Letter Encoding'!$C:$C), 2, FALSE)</f>
        <v>29</v>
      </c>
      <c r="AW15" cm="1">
        <f t="array" ref="AW15">VLOOKUP(TRUE, CHOOSE({1,2}, EXACT(O15, 'Letter Encoding'!$A:$A), 'Letter Encoding'!$C:$C), 2, FALSE)</f>
        <v>44</v>
      </c>
      <c r="AX15" cm="1">
        <f t="array" ref="AX15">VLOOKUP(TRUE, CHOOSE({1,2}, EXACT(P15, 'Letter Encoding'!$A:$A), 'Letter Encoding'!$C:$C), 2, FALSE)</f>
        <v>53</v>
      </c>
      <c r="AY15" cm="1">
        <f t="array" ref="AY15">VLOOKUP(TRUE, CHOOSE({1,2}, EXACT(Q15, 'Letter Encoding'!$A:$A), 'Letter Encoding'!$C:$C), 2, FALSE)</f>
        <v>52</v>
      </c>
      <c r="AZ15" cm="1">
        <f t="array" ref="AZ15">VLOOKUP(TRUE, CHOOSE({1,2}, EXACT(R15, 'Letter Encoding'!$A:$A), 'Letter Encoding'!$C:$C), 2, FALSE)</f>
        <v>46</v>
      </c>
      <c r="BA15" cm="1">
        <f t="array" ref="BA15">VLOOKUP(TRUE, CHOOSE({1,2}, EXACT(S15, 'Letter Encoding'!$A:$A), 'Letter Encoding'!$C:$C), 2, FALSE)</f>
        <v>39</v>
      </c>
      <c r="BB15" cm="1">
        <f t="array" ref="BB15">VLOOKUP(TRUE, CHOOSE({1,2}, EXACT(T15, 'Letter Encoding'!$A:$A), 'Letter Encoding'!$C:$C), 2, FALSE)</f>
        <v>34</v>
      </c>
      <c r="BC15" cm="1">
        <f t="array" ref="BC15">VLOOKUP(TRUE, CHOOSE({1,2}, EXACT(U15, 'Letter Encoding'!$A:$A), 'Letter Encoding'!$C:$C), 2, FALSE)</f>
        <v>40</v>
      </c>
      <c r="BD15" cm="1">
        <f t="array" ref="BD15">VLOOKUP(TRUE, CHOOSE({1,2}, EXACT(V15, 'Letter Encoding'!$A:$A), 'Letter Encoding'!$C:$C), 2, FALSE)</f>
        <v>39</v>
      </c>
      <c r="BP15">
        <f t="shared" si="2"/>
        <v>22</v>
      </c>
      <c r="BQ15" t="s">
        <v>63</v>
      </c>
      <c r="BR15">
        <v>1</v>
      </c>
      <c r="BS15">
        <v>1</v>
      </c>
      <c r="BT15" t="str">
        <f t="shared" si="0"/>
        <v>0, 44, 52, 31, 43, 26, 38, 30, 52, 27, 46, 34, 37, 29, 44, 53, 52, 46, 39, 34, 40, 39</v>
      </c>
    </row>
    <row r="16" spans="1:72" x14ac:dyDescent="0.3">
      <c r="A16" t="s">
        <v>43</v>
      </c>
      <c r="B16" t="s">
        <v>34</v>
      </c>
      <c r="C16" t="s">
        <v>38</v>
      </c>
      <c r="D16" t="s">
        <v>36</v>
      </c>
      <c r="E16" t="s">
        <v>37</v>
      </c>
      <c r="F16" t="s">
        <v>31</v>
      </c>
      <c r="G16" t="s">
        <v>44</v>
      </c>
      <c r="H16" t="s">
        <v>50</v>
      </c>
      <c r="I16" t="s">
        <v>47</v>
      </c>
      <c r="J16" t="s">
        <v>48</v>
      </c>
      <c r="K16" t="s">
        <v>56</v>
      </c>
      <c r="L16" t="s">
        <v>30</v>
      </c>
      <c r="M16" t="s">
        <v>43</v>
      </c>
      <c r="N16" t="s">
        <v>33</v>
      </c>
      <c r="O16" t="s">
        <v>56</v>
      </c>
      <c r="P16" t="s">
        <v>36</v>
      </c>
      <c r="Q16" t="s">
        <v>47</v>
      </c>
      <c r="R16" t="s">
        <v>44</v>
      </c>
      <c r="S16" t="s">
        <v>52</v>
      </c>
      <c r="AH16">
        <f t="shared" si="1"/>
        <v>19</v>
      </c>
      <c r="AI16" cm="1">
        <f t="array" ref="AI16">VLOOKUP(TRUE, CHOOSE({1,2}, EXACT(A16, 'Letter Encoding'!$A:$A), 'Letter Encoding'!$C:$C), 2, FALSE)</f>
        <v>39</v>
      </c>
      <c r="AJ16" cm="1">
        <f t="array" ref="AJ16">VLOOKUP(TRUE, CHOOSE({1,2}, EXACT(B16, 'Letter Encoding'!$A:$A), 'Letter Encoding'!$C:$C), 2, FALSE)</f>
        <v>30</v>
      </c>
      <c r="AK16" cm="1">
        <f t="array" ref="AK16">VLOOKUP(TRUE, CHOOSE({1,2}, EXACT(C16, 'Letter Encoding'!$A:$A), 'Letter Encoding'!$C:$C), 2, FALSE)</f>
        <v>34</v>
      </c>
      <c r="AL16" cm="1">
        <f t="array" ref="AL16">VLOOKUP(TRUE, CHOOSE({1,2}, EXACT(D16, 'Letter Encoding'!$A:$A), 'Letter Encoding'!$C:$C), 2, FALSE)</f>
        <v>32</v>
      </c>
      <c r="AM16" cm="1">
        <f t="array" ref="AM16">VLOOKUP(TRUE, CHOOSE({1,2}, EXACT(E16, 'Letter Encoding'!$A:$A), 'Letter Encoding'!$C:$C), 2, FALSE)</f>
        <v>33</v>
      </c>
      <c r="AN16" cm="1">
        <f t="array" ref="AN16">VLOOKUP(TRUE, CHOOSE({1,2}, EXACT(F16, 'Letter Encoding'!$A:$A), 'Letter Encoding'!$C:$C), 2, FALSE)</f>
        <v>27</v>
      </c>
      <c r="AO16" cm="1">
        <f t="array" ref="AO16">VLOOKUP(TRUE, CHOOSE({1,2}, EXACT(G16, 'Letter Encoding'!$A:$A), 'Letter Encoding'!$C:$C), 2, FALSE)</f>
        <v>40</v>
      </c>
      <c r="AP16" cm="1">
        <f t="array" ref="AP16">VLOOKUP(TRUE, CHOOSE({1,2}, EXACT(H16, 'Letter Encoding'!$A:$A), 'Letter Encoding'!$C:$C), 2, FALSE)</f>
        <v>46</v>
      </c>
      <c r="AQ16" cm="1">
        <f t="array" ref="AQ16">VLOOKUP(TRUE, CHOOSE({1,2}, EXACT(I16, 'Letter Encoding'!$A:$A), 'Letter Encoding'!$C:$C), 2, FALSE)</f>
        <v>43</v>
      </c>
      <c r="AR16" cm="1">
        <f t="array" ref="AR16">VLOOKUP(TRUE, CHOOSE({1,2}, EXACT(J16, 'Letter Encoding'!$A:$A), 'Letter Encoding'!$C:$C), 2, FALSE)</f>
        <v>44</v>
      </c>
      <c r="AS16" cm="1">
        <f t="array" ref="AS16">VLOOKUP(TRUE, CHOOSE({1,2}, EXACT(K16, 'Letter Encoding'!$A:$A), 'Letter Encoding'!$C:$C), 2, FALSE)</f>
        <v>52</v>
      </c>
      <c r="AT16" cm="1">
        <f t="array" ref="AT16">VLOOKUP(TRUE, CHOOSE({1,2}, EXACT(L16, 'Letter Encoding'!$A:$A), 'Letter Encoding'!$C:$C), 2, FALSE)</f>
        <v>26</v>
      </c>
      <c r="AU16" cm="1">
        <f t="array" ref="AU16">VLOOKUP(TRUE, CHOOSE({1,2}, EXACT(M16, 'Letter Encoding'!$A:$A), 'Letter Encoding'!$C:$C), 2, FALSE)</f>
        <v>39</v>
      </c>
      <c r="AV16" cm="1">
        <f t="array" ref="AV16">VLOOKUP(TRUE, CHOOSE({1,2}, EXACT(N16, 'Letter Encoding'!$A:$A), 'Letter Encoding'!$C:$C), 2, FALSE)</f>
        <v>29</v>
      </c>
      <c r="AW16" cm="1">
        <f t="array" ref="AW16">VLOOKUP(TRUE, CHOOSE({1,2}, EXACT(O16, 'Letter Encoding'!$A:$A), 'Letter Encoding'!$C:$C), 2, FALSE)</f>
        <v>52</v>
      </c>
      <c r="AX16" cm="1">
        <f t="array" ref="AX16">VLOOKUP(TRUE, CHOOSE({1,2}, EXACT(P16, 'Letter Encoding'!$A:$A), 'Letter Encoding'!$C:$C), 2, FALSE)</f>
        <v>32</v>
      </c>
      <c r="AY16" cm="1">
        <f t="array" ref="AY16">VLOOKUP(TRUE, CHOOSE({1,2}, EXACT(Q16, 'Letter Encoding'!$A:$A), 'Letter Encoding'!$C:$C), 2, FALSE)</f>
        <v>43</v>
      </c>
      <c r="AZ16" cm="1">
        <f t="array" ref="AZ16">VLOOKUP(TRUE, CHOOSE({1,2}, EXACT(R16, 'Letter Encoding'!$A:$A), 'Letter Encoding'!$C:$C), 2, FALSE)</f>
        <v>40</v>
      </c>
      <c r="BA16" cm="1">
        <f t="array" ref="BA16">VLOOKUP(TRUE, CHOOSE({1,2}, EXACT(S16, 'Letter Encoding'!$A:$A), 'Letter Encoding'!$C:$C), 2, FALSE)</f>
        <v>48</v>
      </c>
      <c r="BP16">
        <f t="shared" si="2"/>
        <v>19</v>
      </c>
      <c r="BS16">
        <v>2</v>
      </c>
      <c r="BT16" t="str">
        <f t="shared" si="0"/>
        <v>39, 30, 34, 32, 33, 27, 40, 46, 43, 44, 52, 26, 39, 29, 52, 32, 43, 40, 48</v>
      </c>
    </row>
    <row r="17" spans="1:72" x14ac:dyDescent="0.3">
      <c r="A17" t="s">
        <v>32</v>
      </c>
      <c r="B17" t="s">
        <v>44</v>
      </c>
      <c r="C17" t="s">
        <v>42</v>
      </c>
      <c r="D17" t="s">
        <v>45</v>
      </c>
      <c r="E17" t="s">
        <v>44</v>
      </c>
      <c r="F17" t="s">
        <v>43</v>
      </c>
      <c r="G17" t="s">
        <v>34</v>
      </c>
      <c r="H17" t="s">
        <v>43</v>
      </c>
      <c r="I17" t="s">
        <v>49</v>
      </c>
      <c r="J17" t="s">
        <v>48</v>
      </c>
      <c r="K17" t="s">
        <v>58</v>
      </c>
      <c r="AH17">
        <f t="shared" si="1"/>
        <v>11</v>
      </c>
      <c r="AI17" cm="1">
        <f t="array" ref="AI17">VLOOKUP(TRUE, CHOOSE({1,2}, EXACT(A17, 'Letter Encoding'!$A:$A), 'Letter Encoding'!$C:$C), 2, FALSE)</f>
        <v>28</v>
      </c>
      <c r="AJ17" cm="1">
        <f t="array" ref="AJ17">VLOOKUP(TRUE, CHOOSE({1,2}, EXACT(B17, 'Letter Encoding'!$A:$A), 'Letter Encoding'!$C:$C), 2, FALSE)</f>
        <v>40</v>
      </c>
      <c r="AK17" cm="1">
        <f t="array" ref="AK17">VLOOKUP(TRUE, CHOOSE({1,2}, EXACT(C17, 'Letter Encoding'!$A:$A), 'Letter Encoding'!$C:$C), 2, FALSE)</f>
        <v>38</v>
      </c>
      <c r="AL17" cm="1">
        <f t="array" ref="AL17">VLOOKUP(TRUE, CHOOSE({1,2}, EXACT(D17, 'Letter Encoding'!$A:$A), 'Letter Encoding'!$C:$C), 2, FALSE)</f>
        <v>41</v>
      </c>
      <c r="AM17" cm="1">
        <f t="array" ref="AM17">VLOOKUP(TRUE, CHOOSE({1,2}, EXACT(E17, 'Letter Encoding'!$A:$A), 'Letter Encoding'!$C:$C), 2, FALSE)</f>
        <v>40</v>
      </c>
      <c r="AN17" cm="1">
        <f t="array" ref="AN17">VLOOKUP(TRUE, CHOOSE({1,2}, EXACT(F17, 'Letter Encoding'!$A:$A), 'Letter Encoding'!$C:$C), 2, FALSE)</f>
        <v>39</v>
      </c>
      <c r="AO17" cm="1">
        <f t="array" ref="AO17">VLOOKUP(TRUE, CHOOSE({1,2}, EXACT(G17, 'Letter Encoding'!$A:$A), 'Letter Encoding'!$C:$C), 2, FALSE)</f>
        <v>30</v>
      </c>
      <c r="AP17" cm="1">
        <f t="array" ref="AP17">VLOOKUP(TRUE, CHOOSE({1,2}, EXACT(H17, 'Letter Encoding'!$A:$A), 'Letter Encoding'!$C:$C), 2, FALSE)</f>
        <v>39</v>
      </c>
      <c r="AQ17" cm="1">
        <f t="array" ref="AQ17">VLOOKUP(TRUE, CHOOSE({1,2}, EXACT(I17, 'Letter Encoding'!$A:$A), 'Letter Encoding'!$C:$C), 2, FALSE)</f>
        <v>45</v>
      </c>
      <c r="AR17" cm="1">
        <f t="array" ref="AR17">VLOOKUP(TRUE, CHOOSE({1,2}, EXACT(J17, 'Letter Encoding'!$A:$A), 'Letter Encoding'!$C:$C), 2, FALSE)</f>
        <v>44</v>
      </c>
      <c r="AS17" cm="1">
        <f t="array" ref="AS17">VLOOKUP(TRUE, CHOOSE({1,2}, EXACT(K17, 'Letter Encoding'!$A:$A), 'Letter Encoding'!$C:$C), 2, FALSE)</f>
        <v>54</v>
      </c>
      <c r="BP17">
        <f t="shared" si="2"/>
        <v>11</v>
      </c>
      <c r="BS17">
        <v>3</v>
      </c>
      <c r="BT17" t="str">
        <f t="shared" si="0"/>
        <v>28, 40, 38, 41, 40, 39, 30, 39, 45, 44, 54</v>
      </c>
    </row>
    <row r="18" spans="1:72" x14ac:dyDescent="0.3">
      <c r="A18" t="s">
        <v>8</v>
      </c>
      <c r="B18" t="s">
        <v>30</v>
      </c>
      <c r="C18" t="s">
        <v>32</v>
      </c>
      <c r="D18" t="s">
        <v>37</v>
      </c>
      <c r="E18" t="s">
        <v>56</v>
      </c>
      <c r="F18" t="s">
        <v>32</v>
      </c>
      <c r="G18" t="s">
        <v>44</v>
      </c>
      <c r="H18" t="s">
        <v>42</v>
      </c>
      <c r="I18" t="s">
        <v>45</v>
      </c>
      <c r="J18" t="s">
        <v>44</v>
      </c>
      <c r="K18" t="s">
        <v>43</v>
      </c>
      <c r="L18" t="s">
        <v>34</v>
      </c>
      <c r="M18" t="s">
        <v>43</v>
      </c>
      <c r="N18" t="s">
        <v>49</v>
      </c>
      <c r="O18" t="s">
        <v>56</v>
      </c>
      <c r="P18" t="s">
        <v>48</v>
      </c>
      <c r="Q18" t="s">
        <v>49</v>
      </c>
      <c r="R18" t="s">
        <v>44</v>
      </c>
      <c r="S18" t="s">
        <v>47</v>
      </c>
      <c r="T18" t="s">
        <v>34</v>
      </c>
      <c r="U18" t="s">
        <v>48</v>
      </c>
      <c r="V18" t="s">
        <v>56</v>
      </c>
      <c r="W18" t="s">
        <v>30</v>
      </c>
      <c r="X18" t="s">
        <v>56</v>
      </c>
      <c r="Y18" t="s">
        <v>47</v>
      </c>
      <c r="Z18" t="s">
        <v>50</v>
      </c>
      <c r="AA18" t="s">
        <v>43</v>
      </c>
      <c r="AB18" t="s">
        <v>43</v>
      </c>
      <c r="AC18" t="s">
        <v>38</v>
      </c>
      <c r="AD18" t="s">
        <v>43</v>
      </c>
      <c r="AE18" t="s">
        <v>36</v>
      </c>
      <c r="AH18">
        <f t="shared" si="1"/>
        <v>31</v>
      </c>
      <c r="AI18" cm="1">
        <f t="array" ref="AI18">VLOOKUP(TRUE, CHOOSE({1,2}, EXACT(A18, 'Letter Encoding'!$A:$A), 'Letter Encoding'!$C:$C), 2, FALSE)</f>
        <v>4</v>
      </c>
      <c r="AJ18" cm="1">
        <f t="array" ref="AJ18">VLOOKUP(TRUE, CHOOSE({1,2}, EXACT(B18, 'Letter Encoding'!$A:$A), 'Letter Encoding'!$C:$C), 2, FALSE)</f>
        <v>26</v>
      </c>
      <c r="AK18" cm="1">
        <f t="array" ref="AK18">VLOOKUP(TRUE, CHOOSE({1,2}, EXACT(C18, 'Letter Encoding'!$A:$A), 'Letter Encoding'!$C:$C), 2, FALSE)</f>
        <v>28</v>
      </c>
      <c r="AL18" cm="1">
        <f t="array" ref="AL18">VLOOKUP(TRUE, CHOOSE({1,2}, EXACT(D18, 'Letter Encoding'!$A:$A), 'Letter Encoding'!$C:$C), 2, FALSE)</f>
        <v>33</v>
      </c>
      <c r="AM18" cm="1">
        <f t="array" ref="AM18">VLOOKUP(TRUE, CHOOSE({1,2}, EXACT(E18, 'Letter Encoding'!$A:$A), 'Letter Encoding'!$C:$C), 2, FALSE)</f>
        <v>52</v>
      </c>
      <c r="AN18" cm="1">
        <f t="array" ref="AN18">VLOOKUP(TRUE, CHOOSE({1,2}, EXACT(F18, 'Letter Encoding'!$A:$A), 'Letter Encoding'!$C:$C), 2, FALSE)</f>
        <v>28</v>
      </c>
      <c r="AO18" cm="1">
        <f t="array" ref="AO18">VLOOKUP(TRUE, CHOOSE({1,2}, EXACT(G18, 'Letter Encoding'!$A:$A), 'Letter Encoding'!$C:$C), 2, FALSE)</f>
        <v>40</v>
      </c>
      <c r="AP18" cm="1">
        <f t="array" ref="AP18">VLOOKUP(TRUE, CHOOSE({1,2}, EXACT(H18, 'Letter Encoding'!$A:$A), 'Letter Encoding'!$C:$C), 2, FALSE)</f>
        <v>38</v>
      </c>
      <c r="AQ18" cm="1">
        <f t="array" ref="AQ18">VLOOKUP(TRUE, CHOOSE({1,2}, EXACT(I18, 'Letter Encoding'!$A:$A), 'Letter Encoding'!$C:$C), 2, FALSE)</f>
        <v>41</v>
      </c>
      <c r="AR18" cm="1">
        <f t="array" ref="AR18">VLOOKUP(TRUE, CHOOSE({1,2}, EXACT(J18, 'Letter Encoding'!$A:$A), 'Letter Encoding'!$C:$C), 2, FALSE)</f>
        <v>40</v>
      </c>
      <c r="AS18" cm="1">
        <f t="array" ref="AS18">VLOOKUP(TRUE, CHOOSE({1,2}, EXACT(K18, 'Letter Encoding'!$A:$A), 'Letter Encoding'!$C:$C), 2, FALSE)</f>
        <v>39</v>
      </c>
      <c r="AT18" cm="1">
        <f t="array" ref="AT18">VLOOKUP(TRUE, CHOOSE({1,2}, EXACT(L18, 'Letter Encoding'!$A:$A), 'Letter Encoding'!$C:$C), 2, FALSE)</f>
        <v>30</v>
      </c>
      <c r="AU18" cm="1">
        <f t="array" ref="AU18">VLOOKUP(TRUE, CHOOSE({1,2}, EXACT(M18, 'Letter Encoding'!$A:$A), 'Letter Encoding'!$C:$C), 2, FALSE)</f>
        <v>39</v>
      </c>
      <c r="AV18" cm="1">
        <f t="array" ref="AV18">VLOOKUP(TRUE, CHOOSE({1,2}, EXACT(N18, 'Letter Encoding'!$A:$A), 'Letter Encoding'!$C:$C), 2, FALSE)</f>
        <v>45</v>
      </c>
      <c r="AW18" cm="1">
        <f t="array" ref="AW18">VLOOKUP(TRUE, CHOOSE({1,2}, EXACT(O18, 'Letter Encoding'!$A:$A), 'Letter Encoding'!$C:$C), 2, FALSE)</f>
        <v>52</v>
      </c>
      <c r="AX18" cm="1">
        <f t="array" ref="AX18">VLOOKUP(TRUE, CHOOSE({1,2}, EXACT(P18, 'Letter Encoding'!$A:$A), 'Letter Encoding'!$C:$C), 2, FALSE)</f>
        <v>44</v>
      </c>
      <c r="AY18" cm="1">
        <f t="array" ref="AY18">VLOOKUP(TRUE, CHOOSE({1,2}, EXACT(Q18, 'Letter Encoding'!$A:$A), 'Letter Encoding'!$C:$C), 2, FALSE)</f>
        <v>45</v>
      </c>
      <c r="AZ18" cm="1">
        <f t="array" ref="AZ18">VLOOKUP(TRUE, CHOOSE({1,2}, EXACT(R18, 'Letter Encoding'!$A:$A), 'Letter Encoding'!$C:$C), 2, FALSE)</f>
        <v>40</v>
      </c>
      <c r="BA18" cm="1">
        <f t="array" ref="BA18">VLOOKUP(TRUE, CHOOSE({1,2}, EXACT(S18, 'Letter Encoding'!$A:$A), 'Letter Encoding'!$C:$C), 2, FALSE)</f>
        <v>43</v>
      </c>
      <c r="BB18" cm="1">
        <f t="array" ref="BB18">VLOOKUP(TRUE, CHOOSE({1,2}, EXACT(T18, 'Letter Encoding'!$A:$A), 'Letter Encoding'!$C:$C), 2, FALSE)</f>
        <v>30</v>
      </c>
      <c r="BC18" cm="1">
        <f t="array" ref="BC18">VLOOKUP(TRUE, CHOOSE({1,2}, EXACT(U18, 'Letter Encoding'!$A:$A), 'Letter Encoding'!$C:$C), 2, FALSE)</f>
        <v>44</v>
      </c>
      <c r="BD18" cm="1">
        <f t="array" ref="BD18">VLOOKUP(TRUE, CHOOSE({1,2}, EXACT(V18, 'Letter Encoding'!$A:$A), 'Letter Encoding'!$C:$C), 2, FALSE)</f>
        <v>52</v>
      </c>
      <c r="BE18" cm="1">
        <f t="array" ref="BE18">VLOOKUP(TRUE, CHOOSE({1,2}, EXACT(W18, 'Letter Encoding'!$A:$A), 'Letter Encoding'!$C:$C), 2, FALSE)</f>
        <v>26</v>
      </c>
      <c r="BF18" cm="1">
        <f t="array" ref="BF18">VLOOKUP(TRUE, CHOOSE({1,2}, EXACT(X18, 'Letter Encoding'!$A:$A), 'Letter Encoding'!$C:$C), 2, FALSE)</f>
        <v>52</v>
      </c>
      <c r="BG18" cm="1">
        <f t="array" ref="BG18">VLOOKUP(TRUE, CHOOSE({1,2}, EXACT(Y18, 'Letter Encoding'!$A:$A), 'Letter Encoding'!$C:$C), 2, FALSE)</f>
        <v>43</v>
      </c>
      <c r="BH18" t="e" cm="1">
        <f t="array" ref="BH18">VLOOKUP(TRUE, CHOOSE({1,2}, EXACT(Z18,#REF!),#REF!), 2, FALSE)</f>
        <v>#N/A</v>
      </c>
      <c r="BI18" t="e" cm="1">
        <f t="array" ref="BI18">VLOOKUP(TRUE, CHOOSE({1,2}, EXACT(AA18,#REF!),#REF!), 2, FALSE)</f>
        <v>#N/A</v>
      </c>
      <c r="BJ18" t="e" cm="1">
        <f t="array" ref="BJ18">VLOOKUP(TRUE, CHOOSE({1,2}, EXACT(AB18,#REF!),#REF!), 2, FALSE)</f>
        <v>#N/A</v>
      </c>
      <c r="BK18" t="e" cm="1">
        <f t="array" ref="BK18">VLOOKUP(TRUE, CHOOSE({1,2}, EXACT(AC18,#REF!),#REF!), 2, FALSE)</f>
        <v>#N/A</v>
      </c>
      <c r="BL18" t="e" cm="1">
        <f t="array" ref="BL18">VLOOKUP(TRUE, CHOOSE({1,2}, EXACT(AD18,#REF!),#REF!), 2, FALSE)</f>
        <v>#N/A</v>
      </c>
      <c r="BM18" t="e" cm="1">
        <f t="array" ref="BM18">VLOOKUP(TRUE, CHOOSE({1,2}, EXACT(AE18,#REF!),#REF!), 2, FALSE)</f>
        <v>#N/A</v>
      </c>
      <c r="BP18">
        <f t="shared" si="2"/>
        <v>31</v>
      </c>
      <c r="BR18">
        <v>2</v>
      </c>
      <c r="BS18">
        <v>4</v>
      </c>
      <c r="BT18" t="e">
        <f t="shared" si="0"/>
        <v>#N/A</v>
      </c>
    </row>
    <row r="19" spans="1:72" x14ac:dyDescent="0.3">
      <c r="A19" t="s">
        <v>30</v>
      </c>
      <c r="B19" t="s">
        <v>47</v>
      </c>
      <c r="C19" t="s">
        <v>34</v>
      </c>
      <c r="D19" t="s">
        <v>30</v>
      </c>
      <c r="E19" t="s">
        <v>56</v>
      </c>
      <c r="F19" t="s">
        <v>32</v>
      </c>
      <c r="G19" t="s">
        <v>44</v>
      </c>
      <c r="H19" t="s">
        <v>50</v>
      </c>
      <c r="I19" t="s">
        <v>43</v>
      </c>
      <c r="J19" t="s">
        <v>49</v>
      </c>
      <c r="K19" t="s">
        <v>56</v>
      </c>
      <c r="L19" t="s">
        <v>30</v>
      </c>
      <c r="M19" t="s">
        <v>43</v>
      </c>
      <c r="N19" t="s">
        <v>33</v>
      </c>
      <c r="O19" t="s">
        <v>56</v>
      </c>
      <c r="P19" t="s">
        <v>42</v>
      </c>
      <c r="Q19" t="s">
        <v>38</v>
      </c>
      <c r="R19" t="s">
        <v>43</v>
      </c>
      <c r="S19" t="s">
        <v>57</v>
      </c>
      <c r="T19" t="s">
        <v>56</v>
      </c>
      <c r="U19" t="s">
        <v>42</v>
      </c>
      <c r="V19" t="s">
        <v>30</v>
      </c>
      <c r="W19" t="s">
        <v>53</v>
      </c>
      <c r="X19" t="s">
        <v>56</v>
      </c>
      <c r="Y19" t="s">
        <v>53</v>
      </c>
      <c r="Z19" t="s">
        <v>57</v>
      </c>
      <c r="AA19" t="s">
        <v>56</v>
      </c>
      <c r="AB19" t="s">
        <v>54</v>
      </c>
      <c r="AH19">
        <f t="shared" si="1"/>
        <v>28</v>
      </c>
      <c r="AI19" cm="1">
        <f t="array" ref="AI19">VLOOKUP(TRUE, CHOOSE({1,2}, EXACT(A19, 'Letter Encoding'!$A:$A), 'Letter Encoding'!$C:$C), 2, FALSE)</f>
        <v>26</v>
      </c>
      <c r="AJ19" cm="1">
        <f t="array" ref="AJ19">VLOOKUP(TRUE, CHOOSE({1,2}, EXACT(B19, 'Letter Encoding'!$A:$A), 'Letter Encoding'!$C:$C), 2, FALSE)</f>
        <v>43</v>
      </c>
      <c r="AK19" cm="1">
        <f t="array" ref="AK19">VLOOKUP(TRUE, CHOOSE({1,2}, EXACT(C19, 'Letter Encoding'!$A:$A), 'Letter Encoding'!$C:$C), 2, FALSE)</f>
        <v>30</v>
      </c>
      <c r="AL19" cm="1">
        <f t="array" ref="AL19">VLOOKUP(TRUE, CHOOSE({1,2}, EXACT(D19, 'Letter Encoding'!$A:$A), 'Letter Encoding'!$C:$C), 2, FALSE)</f>
        <v>26</v>
      </c>
      <c r="AM19" cm="1">
        <f t="array" ref="AM19">VLOOKUP(TRUE, CHOOSE({1,2}, EXACT(E19, 'Letter Encoding'!$A:$A), 'Letter Encoding'!$C:$C), 2, FALSE)</f>
        <v>52</v>
      </c>
      <c r="AN19" cm="1">
        <f t="array" ref="AN19">VLOOKUP(TRUE, CHOOSE({1,2}, EXACT(F19, 'Letter Encoding'!$A:$A), 'Letter Encoding'!$C:$C), 2, FALSE)</f>
        <v>28</v>
      </c>
      <c r="AO19" cm="1">
        <f t="array" ref="AO19">VLOOKUP(TRUE, CHOOSE({1,2}, EXACT(G19, 'Letter Encoding'!$A:$A), 'Letter Encoding'!$C:$C), 2, FALSE)</f>
        <v>40</v>
      </c>
      <c r="AP19" cm="1">
        <f t="array" ref="AP19">VLOOKUP(TRUE, CHOOSE({1,2}, EXACT(H19, 'Letter Encoding'!$A:$A), 'Letter Encoding'!$C:$C), 2, FALSE)</f>
        <v>46</v>
      </c>
      <c r="AQ19" cm="1">
        <f t="array" ref="AQ19">VLOOKUP(TRUE, CHOOSE({1,2}, EXACT(I19, 'Letter Encoding'!$A:$A), 'Letter Encoding'!$C:$C), 2, FALSE)</f>
        <v>39</v>
      </c>
      <c r="AR19" cm="1">
        <f t="array" ref="AR19">VLOOKUP(TRUE, CHOOSE({1,2}, EXACT(J19, 'Letter Encoding'!$A:$A), 'Letter Encoding'!$C:$C), 2, FALSE)</f>
        <v>45</v>
      </c>
      <c r="AS19" cm="1">
        <f t="array" ref="AS19">VLOOKUP(TRUE, CHOOSE({1,2}, EXACT(K19, 'Letter Encoding'!$A:$A), 'Letter Encoding'!$C:$C), 2, FALSE)</f>
        <v>52</v>
      </c>
      <c r="AT19" cm="1">
        <f t="array" ref="AT19">VLOOKUP(TRUE, CHOOSE({1,2}, EXACT(L19, 'Letter Encoding'!$A:$A), 'Letter Encoding'!$C:$C), 2, FALSE)</f>
        <v>26</v>
      </c>
      <c r="AU19" cm="1">
        <f t="array" ref="AU19">VLOOKUP(TRUE, CHOOSE({1,2}, EXACT(M19, 'Letter Encoding'!$A:$A), 'Letter Encoding'!$C:$C), 2, FALSE)</f>
        <v>39</v>
      </c>
      <c r="AV19" cm="1">
        <f t="array" ref="AV19">VLOOKUP(TRUE, CHOOSE({1,2}, EXACT(N19, 'Letter Encoding'!$A:$A), 'Letter Encoding'!$C:$C), 2, FALSE)</f>
        <v>29</v>
      </c>
      <c r="AW19" cm="1">
        <f t="array" ref="AW19">VLOOKUP(TRUE, CHOOSE({1,2}, EXACT(O19, 'Letter Encoding'!$A:$A), 'Letter Encoding'!$C:$C), 2, FALSE)</f>
        <v>52</v>
      </c>
      <c r="AX19" cm="1">
        <f t="array" ref="AX19">VLOOKUP(TRUE, CHOOSE({1,2}, EXACT(P19, 'Letter Encoding'!$A:$A), 'Letter Encoding'!$C:$C), 2, FALSE)</f>
        <v>38</v>
      </c>
      <c r="AY19" cm="1">
        <f t="array" ref="AY19">VLOOKUP(TRUE, CHOOSE({1,2}, EXACT(Q19, 'Letter Encoding'!$A:$A), 'Letter Encoding'!$C:$C), 2, FALSE)</f>
        <v>34</v>
      </c>
      <c r="AZ19" cm="1">
        <f t="array" ref="AZ19">VLOOKUP(TRUE, CHOOSE({1,2}, EXACT(R19, 'Letter Encoding'!$A:$A), 'Letter Encoding'!$C:$C), 2, FALSE)</f>
        <v>39</v>
      </c>
      <c r="BA19" cm="1">
        <f t="array" ref="BA19">VLOOKUP(TRUE, CHOOSE({1,2}, EXACT(S19, 'Letter Encoding'!$A:$A), 'Letter Encoding'!$C:$C), 2, FALSE)</f>
        <v>53</v>
      </c>
      <c r="BB19" cm="1">
        <f t="array" ref="BB19">VLOOKUP(TRUE, CHOOSE({1,2}, EXACT(T19, 'Letter Encoding'!$A:$A), 'Letter Encoding'!$C:$C), 2, FALSE)</f>
        <v>52</v>
      </c>
      <c r="BC19" cm="1">
        <f t="array" ref="BC19">VLOOKUP(TRUE, CHOOSE({1,2}, EXACT(U19, 'Letter Encoding'!$A:$A), 'Letter Encoding'!$C:$C), 2, FALSE)</f>
        <v>38</v>
      </c>
      <c r="BD19" cm="1">
        <f t="array" ref="BD19">VLOOKUP(TRUE, CHOOSE({1,2}, EXACT(V19, 'Letter Encoding'!$A:$A), 'Letter Encoding'!$C:$C), 2, FALSE)</f>
        <v>26</v>
      </c>
      <c r="BE19" cm="1">
        <f t="array" ref="BE19">VLOOKUP(TRUE, CHOOSE({1,2}, EXACT(W19, 'Letter Encoding'!$A:$A), 'Letter Encoding'!$C:$C), 2, FALSE)</f>
        <v>49</v>
      </c>
      <c r="BF19" cm="1">
        <f t="array" ref="BF19">VLOOKUP(TRUE, CHOOSE({1,2}, EXACT(X19, 'Letter Encoding'!$A:$A), 'Letter Encoding'!$C:$C), 2, FALSE)</f>
        <v>52</v>
      </c>
      <c r="BG19" cm="1">
        <f t="array" ref="BG19">VLOOKUP(TRUE, CHOOSE({1,2}, EXACT(Y19, 'Letter Encoding'!$A:$A), 'Letter Encoding'!$C:$C), 2, FALSE)</f>
        <v>49</v>
      </c>
      <c r="BH19" t="e" cm="1">
        <f t="array" ref="BH19">VLOOKUP(TRUE, CHOOSE({1,2}, EXACT(Z19,#REF!),#REF!), 2, FALSE)</f>
        <v>#N/A</v>
      </c>
      <c r="BI19" t="e" cm="1">
        <f t="array" ref="BI19">VLOOKUP(TRUE, CHOOSE({1,2}, EXACT(AA19,#REF!),#REF!), 2, FALSE)</f>
        <v>#N/A</v>
      </c>
      <c r="BJ19" t="e" cm="1">
        <f t="array" ref="BJ19">VLOOKUP(TRUE, CHOOSE({1,2}, EXACT(AB19,#REF!),#REF!), 2, FALSE)</f>
        <v>#N/A</v>
      </c>
      <c r="BP19">
        <f t="shared" si="2"/>
        <v>28</v>
      </c>
      <c r="BS19">
        <v>5</v>
      </c>
      <c r="BT19" t="e">
        <f t="shared" si="0"/>
        <v>#N/A</v>
      </c>
    </row>
    <row r="20" spans="1:72" x14ac:dyDescent="0.3">
      <c r="A20" t="s">
        <v>35</v>
      </c>
      <c r="B20" t="s">
        <v>44</v>
      </c>
      <c r="C20" t="s">
        <v>47</v>
      </c>
      <c r="D20" t="s">
        <v>56</v>
      </c>
      <c r="E20" t="s">
        <v>31</v>
      </c>
      <c r="F20" t="s">
        <v>44</v>
      </c>
      <c r="G20" t="s">
        <v>50</v>
      </c>
      <c r="H20" t="s">
        <v>43</v>
      </c>
      <c r="I20" t="s">
        <v>33</v>
      </c>
      <c r="J20" t="s">
        <v>38</v>
      </c>
      <c r="K20" t="s">
        <v>43</v>
      </c>
      <c r="L20" t="s">
        <v>36</v>
      </c>
      <c r="M20" t="s">
        <v>56</v>
      </c>
      <c r="N20" t="s">
        <v>31</v>
      </c>
      <c r="O20" t="s">
        <v>44</v>
      </c>
      <c r="P20" t="s">
        <v>53</v>
      </c>
      <c r="Q20" t="s">
        <v>34</v>
      </c>
      <c r="R20" t="s">
        <v>48</v>
      </c>
      <c r="S20" t="s">
        <v>58</v>
      </c>
      <c r="AH20">
        <f t="shared" si="1"/>
        <v>19</v>
      </c>
      <c r="AI20" cm="1">
        <f t="array" ref="AI20">VLOOKUP(TRUE, CHOOSE({1,2}, EXACT(A20, 'Letter Encoding'!$A:$A), 'Letter Encoding'!$C:$C), 2, FALSE)</f>
        <v>31</v>
      </c>
      <c r="AJ20" cm="1">
        <f t="array" ref="AJ20">VLOOKUP(TRUE, CHOOSE({1,2}, EXACT(B20, 'Letter Encoding'!$A:$A), 'Letter Encoding'!$C:$C), 2, FALSE)</f>
        <v>40</v>
      </c>
      <c r="AK20" cm="1">
        <f t="array" ref="AK20">VLOOKUP(TRUE, CHOOSE({1,2}, EXACT(C20, 'Letter Encoding'!$A:$A), 'Letter Encoding'!$C:$C), 2, FALSE)</f>
        <v>43</v>
      </c>
      <c r="AL20" cm="1">
        <f t="array" ref="AL20">VLOOKUP(TRUE, CHOOSE({1,2}, EXACT(D20, 'Letter Encoding'!$A:$A), 'Letter Encoding'!$C:$C), 2, FALSE)</f>
        <v>52</v>
      </c>
      <c r="AM20" cm="1">
        <f t="array" ref="AM20">VLOOKUP(TRUE, CHOOSE({1,2}, EXACT(E20, 'Letter Encoding'!$A:$A), 'Letter Encoding'!$C:$C), 2, FALSE)</f>
        <v>27</v>
      </c>
      <c r="AN20" cm="1">
        <f t="array" ref="AN20">VLOOKUP(TRUE, CHOOSE({1,2}, EXACT(F20, 'Letter Encoding'!$A:$A), 'Letter Encoding'!$C:$C), 2, FALSE)</f>
        <v>40</v>
      </c>
      <c r="AO20" cm="1">
        <f t="array" ref="AO20">VLOOKUP(TRUE, CHOOSE({1,2}, EXACT(G20, 'Letter Encoding'!$A:$A), 'Letter Encoding'!$C:$C), 2, FALSE)</f>
        <v>46</v>
      </c>
      <c r="AP20" cm="1">
        <f t="array" ref="AP20">VLOOKUP(TRUE, CHOOSE({1,2}, EXACT(H20, 'Letter Encoding'!$A:$A), 'Letter Encoding'!$C:$C), 2, FALSE)</f>
        <v>39</v>
      </c>
      <c r="AQ20" cm="1">
        <f t="array" ref="AQ20">VLOOKUP(TRUE, CHOOSE({1,2}, EXACT(I20, 'Letter Encoding'!$A:$A), 'Letter Encoding'!$C:$C), 2, FALSE)</f>
        <v>29</v>
      </c>
      <c r="AR20" cm="1">
        <f t="array" ref="AR20">VLOOKUP(TRUE, CHOOSE({1,2}, EXACT(J20, 'Letter Encoding'!$A:$A), 'Letter Encoding'!$C:$C), 2, FALSE)</f>
        <v>34</v>
      </c>
      <c r="AS20" cm="1">
        <f t="array" ref="AS20">VLOOKUP(TRUE, CHOOSE({1,2}, EXACT(K20, 'Letter Encoding'!$A:$A), 'Letter Encoding'!$C:$C), 2, FALSE)</f>
        <v>39</v>
      </c>
      <c r="AT20" cm="1">
        <f t="array" ref="AT20">VLOOKUP(TRUE, CHOOSE({1,2}, EXACT(L20, 'Letter Encoding'!$A:$A), 'Letter Encoding'!$C:$C), 2, FALSE)</f>
        <v>32</v>
      </c>
      <c r="AU20" cm="1">
        <f t="array" ref="AU20">VLOOKUP(TRUE, CHOOSE({1,2}, EXACT(M20, 'Letter Encoding'!$A:$A), 'Letter Encoding'!$C:$C), 2, FALSE)</f>
        <v>52</v>
      </c>
      <c r="AV20" cm="1">
        <f t="array" ref="AV20">VLOOKUP(TRUE, CHOOSE({1,2}, EXACT(N20, 'Letter Encoding'!$A:$A), 'Letter Encoding'!$C:$C), 2, FALSE)</f>
        <v>27</v>
      </c>
      <c r="AW20" cm="1">
        <f t="array" ref="AW20">VLOOKUP(TRUE, CHOOSE({1,2}, EXACT(O20, 'Letter Encoding'!$A:$A), 'Letter Encoding'!$C:$C), 2, FALSE)</f>
        <v>40</v>
      </c>
      <c r="AX20" cm="1">
        <f t="array" ref="AX20">VLOOKUP(TRUE, CHOOSE({1,2}, EXACT(P20, 'Letter Encoding'!$A:$A), 'Letter Encoding'!$C:$C), 2, FALSE)</f>
        <v>49</v>
      </c>
      <c r="AY20" cm="1">
        <f t="array" ref="AY20">VLOOKUP(TRUE, CHOOSE({1,2}, EXACT(Q20, 'Letter Encoding'!$A:$A), 'Letter Encoding'!$C:$C), 2, FALSE)</f>
        <v>30</v>
      </c>
      <c r="AZ20" cm="1">
        <f t="array" ref="AZ20">VLOOKUP(TRUE, CHOOSE({1,2}, EXACT(R20, 'Letter Encoding'!$A:$A), 'Letter Encoding'!$C:$C), 2, FALSE)</f>
        <v>44</v>
      </c>
      <c r="BA20" cm="1">
        <f t="array" ref="BA20">VLOOKUP(TRUE, CHOOSE({1,2}, EXACT(S20, 'Letter Encoding'!$A:$A), 'Letter Encoding'!$C:$C), 2, FALSE)</f>
        <v>54</v>
      </c>
      <c r="BP20">
        <f t="shared" si="2"/>
        <v>19</v>
      </c>
      <c r="BS20">
        <v>6</v>
      </c>
      <c r="BT20" t="str">
        <f t="shared" si="0"/>
        <v>31, 40, 43, 52, 27, 40, 46, 39, 29, 34, 39, 32, 52, 27, 40, 49, 30, 44, 54</v>
      </c>
    </row>
    <row r="21" spans="1:72" x14ac:dyDescent="0.3">
      <c r="AH21">
        <f t="shared" si="1"/>
        <v>0</v>
      </c>
      <c r="BT21" t="str">
        <f t="shared" si="0"/>
        <v/>
      </c>
    </row>
    <row r="22" spans="1:72" x14ac:dyDescent="0.3">
      <c r="A22" t="s">
        <v>21</v>
      </c>
      <c r="B22" t="s">
        <v>34</v>
      </c>
      <c r="C22" t="s">
        <v>42</v>
      </c>
      <c r="D22" t="s">
        <v>44</v>
      </c>
      <c r="E22" t="s">
        <v>51</v>
      </c>
      <c r="F22" t="s">
        <v>34</v>
      </c>
      <c r="G22" t="s">
        <v>56</v>
      </c>
      <c r="H22" t="s">
        <v>49</v>
      </c>
      <c r="I22" t="s">
        <v>38</v>
      </c>
      <c r="J22" t="s">
        <v>43</v>
      </c>
      <c r="K22" t="s">
        <v>54</v>
      </c>
      <c r="L22" t="s">
        <v>56</v>
      </c>
      <c r="M22" t="s">
        <v>32</v>
      </c>
      <c r="N22" t="s">
        <v>44</v>
      </c>
      <c r="O22" t="s">
        <v>42</v>
      </c>
      <c r="P22" t="s">
        <v>45</v>
      </c>
      <c r="Q22" t="s">
        <v>44</v>
      </c>
      <c r="R22" t="s">
        <v>43</v>
      </c>
      <c r="S22" t="s">
        <v>34</v>
      </c>
      <c r="T22" t="s">
        <v>43</v>
      </c>
      <c r="U22" t="s">
        <v>49</v>
      </c>
      <c r="V22" t="s">
        <v>48</v>
      </c>
      <c r="W22" t="s">
        <v>56</v>
      </c>
      <c r="X22" t="s">
        <v>30</v>
      </c>
      <c r="Y22" t="s">
        <v>48</v>
      </c>
      <c r="Z22" t="s">
        <v>56</v>
      </c>
      <c r="AA22" t="s">
        <v>49</v>
      </c>
      <c r="AB22" t="s">
        <v>37</v>
      </c>
      <c r="AC22" t="s">
        <v>34</v>
      </c>
      <c r="AD22" t="s">
        <v>47</v>
      </c>
      <c r="AE22" t="s">
        <v>34</v>
      </c>
      <c r="AH22">
        <f t="shared" si="1"/>
        <v>31</v>
      </c>
      <c r="AI22" cm="1">
        <f t="array" ref="AI22">VLOOKUP(TRUE, CHOOSE({1,2}, EXACT(A22, 'Letter Encoding'!$A:$A), 'Letter Encoding'!$C:$C), 2, FALSE)</f>
        <v>17</v>
      </c>
      <c r="AJ22" cm="1">
        <f t="array" ref="AJ22">VLOOKUP(TRUE, CHOOSE({1,2}, EXACT(B22, 'Letter Encoding'!$A:$A), 'Letter Encoding'!$C:$C), 2, FALSE)</f>
        <v>30</v>
      </c>
      <c r="AK22" cm="1">
        <f t="array" ref="AK22">VLOOKUP(TRUE, CHOOSE({1,2}, EXACT(C22, 'Letter Encoding'!$A:$A), 'Letter Encoding'!$C:$C), 2, FALSE)</f>
        <v>38</v>
      </c>
      <c r="AL22" cm="1">
        <f t="array" ref="AL22">VLOOKUP(TRUE, CHOOSE({1,2}, EXACT(D22, 'Letter Encoding'!$A:$A), 'Letter Encoding'!$C:$C), 2, FALSE)</f>
        <v>40</v>
      </c>
      <c r="AM22" cm="1">
        <f t="array" ref="AM22">VLOOKUP(TRUE, CHOOSE({1,2}, EXACT(E22, 'Letter Encoding'!$A:$A), 'Letter Encoding'!$C:$C), 2, FALSE)</f>
        <v>47</v>
      </c>
      <c r="AN22" cm="1">
        <f t="array" ref="AN22">VLOOKUP(TRUE, CHOOSE({1,2}, EXACT(F22, 'Letter Encoding'!$A:$A), 'Letter Encoding'!$C:$C), 2, FALSE)</f>
        <v>30</v>
      </c>
      <c r="AO22" cm="1">
        <f t="array" ref="AO22">VLOOKUP(TRUE, CHOOSE({1,2}, EXACT(G22, 'Letter Encoding'!$A:$A), 'Letter Encoding'!$C:$C), 2, FALSE)</f>
        <v>52</v>
      </c>
      <c r="AP22" cm="1">
        <f t="array" ref="AP22">VLOOKUP(TRUE, CHOOSE({1,2}, EXACT(H22, 'Letter Encoding'!$A:$A), 'Letter Encoding'!$C:$C), 2, FALSE)</f>
        <v>45</v>
      </c>
      <c r="AQ22" cm="1">
        <f t="array" ref="AQ22">VLOOKUP(TRUE, CHOOSE({1,2}, EXACT(I22, 'Letter Encoding'!$A:$A), 'Letter Encoding'!$C:$C), 2, FALSE)</f>
        <v>34</v>
      </c>
      <c r="AR22" cm="1">
        <f t="array" ref="AR22">VLOOKUP(TRUE, CHOOSE({1,2}, EXACT(J22, 'Letter Encoding'!$A:$A), 'Letter Encoding'!$C:$C), 2, FALSE)</f>
        <v>39</v>
      </c>
      <c r="AS22" cm="1">
        <f t="array" ref="AS22">VLOOKUP(TRUE, CHOOSE({1,2}, EXACT(K22, 'Letter Encoding'!$A:$A), 'Letter Encoding'!$C:$C), 2, FALSE)</f>
        <v>50</v>
      </c>
      <c r="AT22" cm="1">
        <f t="array" ref="AT22">VLOOKUP(TRUE, CHOOSE({1,2}, EXACT(L22, 'Letter Encoding'!$A:$A), 'Letter Encoding'!$C:$C), 2, FALSE)</f>
        <v>52</v>
      </c>
      <c r="AU22" cm="1">
        <f t="array" ref="AU22">VLOOKUP(TRUE, CHOOSE({1,2}, EXACT(M22, 'Letter Encoding'!$A:$A), 'Letter Encoding'!$C:$C), 2, FALSE)</f>
        <v>28</v>
      </c>
      <c r="AV22" cm="1">
        <f t="array" ref="AV22">VLOOKUP(TRUE, CHOOSE({1,2}, EXACT(N22, 'Letter Encoding'!$A:$A), 'Letter Encoding'!$C:$C), 2, FALSE)</f>
        <v>40</v>
      </c>
      <c r="AW22" cm="1">
        <f t="array" ref="AW22">VLOOKUP(TRUE, CHOOSE({1,2}, EXACT(O22, 'Letter Encoding'!$A:$A), 'Letter Encoding'!$C:$C), 2, FALSE)</f>
        <v>38</v>
      </c>
      <c r="AX22" cm="1">
        <f t="array" ref="AX22">VLOOKUP(TRUE, CHOOSE({1,2}, EXACT(P22, 'Letter Encoding'!$A:$A), 'Letter Encoding'!$C:$C), 2, FALSE)</f>
        <v>41</v>
      </c>
      <c r="AY22" cm="1">
        <f t="array" ref="AY22">VLOOKUP(TRUE, CHOOSE({1,2}, EXACT(Q22, 'Letter Encoding'!$A:$A), 'Letter Encoding'!$C:$C), 2, FALSE)</f>
        <v>40</v>
      </c>
      <c r="AZ22" cm="1">
        <f t="array" ref="AZ22">VLOOKUP(TRUE, CHOOSE({1,2}, EXACT(R22, 'Letter Encoding'!$A:$A), 'Letter Encoding'!$C:$C), 2, FALSE)</f>
        <v>39</v>
      </c>
      <c r="BA22" cm="1">
        <f t="array" ref="BA22">VLOOKUP(TRUE, CHOOSE({1,2}, EXACT(S22, 'Letter Encoding'!$A:$A), 'Letter Encoding'!$C:$C), 2, FALSE)</f>
        <v>30</v>
      </c>
      <c r="BB22" cm="1">
        <f t="array" ref="BB22">VLOOKUP(TRUE, CHOOSE({1,2}, EXACT(T22, 'Letter Encoding'!$A:$A), 'Letter Encoding'!$C:$C), 2, FALSE)</f>
        <v>39</v>
      </c>
      <c r="BC22" cm="1">
        <f t="array" ref="BC22">VLOOKUP(TRUE, CHOOSE({1,2}, EXACT(U22, 'Letter Encoding'!$A:$A), 'Letter Encoding'!$C:$C), 2, FALSE)</f>
        <v>45</v>
      </c>
      <c r="BD22" cm="1">
        <f t="array" ref="BD22">VLOOKUP(TRUE, CHOOSE({1,2}, EXACT(V22, 'Letter Encoding'!$A:$A), 'Letter Encoding'!$C:$C), 2, FALSE)</f>
        <v>44</v>
      </c>
      <c r="BE22" cm="1">
        <f t="array" ref="BE22">VLOOKUP(TRUE, CHOOSE({1,2}, EXACT(W22, 'Letter Encoding'!$A:$A), 'Letter Encoding'!$C:$C), 2, FALSE)</f>
        <v>52</v>
      </c>
      <c r="BF22" cm="1">
        <f t="array" ref="BF22">VLOOKUP(TRUE, CHOOSE({1,2}, EXACT(X22, 'Letter Encoding'!$A:$A), 'Letter Encoding'!$C:$C), 2, FALSE)</f>
        <v>26</v>
      </c>
      <c r="BG22" cm="1">
        <f t="array" ref="BG22">VLOOKUP(TRUE, CHOOSE({1,2}, EXACT(Y22, 'Letter Encoding'!$A:$A), 'Letter Encoding'!$C:$C), 2, FALSE)</f>
        <v>44</v>
      </c>
      <c r="BH22" cm="1">
        <f t="array" ref="BH22">VLOOKUP(TRUE, CHOOSE({1,2}, EXACT(Z22, 'Letter Encoding'!$A:$A), 'Letter Encoding'!$C:$C), 2, FALSE)</f>
        <v>52</v>
      </c>
      <c r="BI22" cm="1">
        <f t="array" ref="BI22">VLOOKUP(TRUE, CHOOSE({1,2}, EXACT(AA22, 'Letter Encoding'!$A:$A), 'Letter Encoding'!$C:$C), 2, FALSE)</f>
        <v>45</v>
      </c>
      <c r="BJ22" cm="1">
        <f t="array" ref="BJ22">VLOOKUP(TRUE, CHOOSE({1,2}, EXACT(AB22, 'Letter Encoding'!$A:$A), 'Letter Encoding'!$C:$C), 2, FALSE)</f>
        <v>33</v>
      </c>
      <c r="BK22" cm="1">
        <f t="array" ref="BK22">VLOOKUP(TRUE, CHOOSE({1,2}, EXACT(AC22, 'Letter Encoding'!$A:$A), 'Letter Encoding'!$C:$C), 2, FALSE)</f>
        <v>30</v>
      </c>
      <c r="BL22" t="e" cm="1">
        <f t="array" ref="BL22">VLOOKUP(TRUE, CHOOSE({1,2}, EXACT(AD22,#REF!),#REF!), 2, FALSE)</f>
        <v>#N/A</v>
      </c>
      <c r="BM22" t="e" cm="1">
        <f t="array" ref="BM22">VLOOKUP(TRUE, CHOOSE({1,2}, EXACT(AE22,#REF!),#REF!), 2, FALSE)</f>
        <v>#N/A</v>
      </c>
      <c r="BP22">
        <f t="shared" si="2"/>
        <v>31</v>
      </c>
      <c r="BQ22" t="s">
        <v>64</v>
      </c>
      <c r="BR22">
        <v>1</v>
      </c>
      <c r="BS22">
        <v>1</v>
      </c>
      <c r="BT22" t="e">
        <f t="shared" si="0"/>
        <v>#N/A</v>
      </c>
    </row>
    <row r="23" spans="1:72" x14ac:dyDescent="0.3">
      <c r="A23" t="s">
        <v>42</v>
      </c>
      <c r="B23" t="s">
        <v>30</v>
      </c>
      <c r="C23" t="s">
        <v>54</v>
      </c>
      <c r="D23" t="s">
        <v>56</v>
      </c>
      <c r="E23" t="s">
        <v>31</v>
      </c>
      <c r="F23" t="s">
        <v>34</v>
      </c>
      <c r="G23" t="s">
        <v>56</v>
      </c>
      <c r="H23" t="s">
        <v>43</v>
      </c>
      <c r="I23" t="s">
        <v>44</v>
      </c>
      <c r="J23" t="s">
        <v>38</v>
      </c>
      <c r="K23" t="s">
        <v>48</v>
      </c>
      <c r="L23" t="s">
        <v>34</v>
      </c>
      <c r="M23" t="s">
        <v>57</v>
      </c>
      <c r="N23" t="s">
        <v>56</v>
      </c>
      <c r="O23" t="s">
        <v>31</v>
      </c>
      <c r="P23" t="s">
        <v>54</v>
      </c>
      <c r="Q23" t="s">
        <v>56</v>
      </c>
      <c r="R23" t="s">
        <v>42</v>
      </c>
      <c r="S23" t="s">
        <v>38</v>
      </c>
      <c r="T23" t="s">
        <v>43</v>
      </c>
      <c r="U23" t="s">
        <v>56</v>
      </c>
      <c r="V23" t="s">
        <v>30</v>
      </c>
      <c r="W23" t="s">
        <v>47</v>
      </c>
      <c r="X23" t="s">
        <v>34</v>
      </c>
      <c r="Y23" t="s">
        <v>30</v>
      </c>
      <c r="Z23" t="s">
        <v>58</v>
      </c>
      <c r="AH23">
        <f t="shared" si="1"/>
        <v>26</v>
      </c>
      <c r="AI23" cm="1">
        <f t="array" ref="AI23">VLOOKUP(TRUE, CHOOSE({1,2}, EXACT(A23, 'Letter Encoding'!$A:$A), 'Letter Encoding'!$C:$C), 2, FALSE)</f>
        <v>38</v>
      </c>
      <c r="AJ23" cm="1">
        <f t="array" ref="AJ23">VLOOKUP(TRUE, CHOOSE({1,2}, EXACT(B23, 'Letter Encoding'!$A:$A), 'Letter Encoding'!$C:$C), 2, FALSE)</f>
        <v>26</v>
      </c>
      <c r="AK23" cm="1">
        <f t="array" ref="AK23">VLOOKUP(TRUE, CHOOSE({1,2}, EXACT(C23, 'Letter Encoding'!$A:$A), 'Letter Encoding'!$C:$C), 2, FALSE)</f>
        <v>50</v>
      </c>
      <c r="AL23" cm="1">
        <f t="array" ref="AL23">VLOOKUP(TRUE, CHOOSE({1,2}, EXACT(D23, 'Letter Encoding'!$A:$A), 'Letter Encoding'!$C:$C), 2, FALSE)</f>
        <v>52</v>
      </c>
      <c r="AM23" cm="1">
        <f t="array" ref="AM23">VLOOKUP(TRUE, CHOOSE({1,2}, EXACT(E23, 'Letter Encoding'!$A:$A), 'Letter Encoding'!$C:$C), 2, FALSE)</f>
        <v>27</v>
      </c>
      <c r="AN23" cm="1">
        <f t="array" ref="AN23">VLOOKUP(TRUE, CHOOSE({1,2}, EXACT(F23, 'Letter Encoding'!$A:$A), 'Letter Encoding'!$C:$C), 2, FALSE)</f>
        <v>30</v>
      </c>
      <c r="AO23" cm="1">
        <f t="array" ref="AO23">VLOOKUP(TRUE, CHOOSE({1,2}, EXACT(G23, 'Letter Encoding'!$A:$A), 'Letter Encoding'!$C:$C), 2, FALSE)</f>
        <v>52</v>
      </c>
      <c r="AP23" cm="1">
        <f t="array" ref="AP23">VLOOKUP(TRUE, CHOOSE({1,2}, EXACT(H23, 'Letter Encoding'!$A:$A), 'Letter Encoding'!$C:$C), 2, FALSE)</f>
        <v>39</v>
      </c>
      <c r="AQ23" cm="1">
        <f t="array" ref="AQ23">VLOOKUP(TRUE, CHOOSE({1,2}, EXACT(I23, 'Letter Encoding'!$A:$A), 'Letter Encoding'!$C:$C), 2, FALSE)</f>
        <v>40</v>
      </c>
      <c r="AR23" cm="1">
        <f t="array" ref="AR23">VLOOKUP(TRUE, CHOOSE({1,2}, EXACT(J23, 'Letter Encoding'!$A:$A), 'Letter Encoding'!$C:$C), 2, FALSE)</f>
        <v>34</v>
      </c>
      <c r="AS23" cm="1">
        <f t="array" ref="AS23">VLOOKUP(TRUE, CHOOSE({1,2}, EXACT(K23, 'Letter Encoding'!$A:$A), 'Letter Encoding'!$C:$C), 2, FALSE)</f>
        <v>44</v>
      </c>
      <c r="AT23" cm="1">
        <f t="array" ref="AT23">VLOOKUP(TRUE, CHOOSE({1,2}, EXACT(L23, 'Letter Encoding'!$A:$A), 'Letter Encoding'!$C:$C), 2, FALSE)</f>
        <v>30</v>
      </c>
      <c r="AU23" cm="1">
        <f t="array" ref="AU23">VLOOKUP(TRUE, CHOOSE({1,2}, EXACT(M23, 'Letter Encoding'!$A:$A), 'Letter Encoding'!$C:$C), 2, FALSE)</f>
        <v>53</v>
      </c>
      <c r="AV23" cm="1">
        <f t="array" ref="AV23">VLOOKUP(TRUE, CHOOSE({1,2}, EXACT(N23, 'Letter Encoding'!$A:$A), 'Letter Encoding'!$C:$C), 2, FALSE)</f>
        <v>52</v>
      </c>
      <c r="AW23" cm="1">
        <f t="array" ref="AW23">VLOOKUP(TRUE, CHOOSE({1,2}, EXACT(O23, 'Letter Encoding'!$A:$A), 'Letter Encoding'!$C:$C), 2, FALSE)</f>
        <v>27</v>
      </c>
      <c r="AX23" cm="1">
        <f t="array" ref="AX23">VLOOKUP(TRUE, CHOOSE({1,2}, EXACT(P23, 'Letter Encoding'!$A:$A), 'Letter Encoding'!$C:$C), 2, FALSE)</f>
        <v>50</v>
      </c>
      <c r="AY23" cm="1">
        <f t="array" ref="AY23">VLOOKUP(TRUE, CHOOSE({1,2}, EXACT(Q23, 'Letter Encoding'!$A:$A), 'Letter Encoding'!$C:$C), 2, FALSE)</f>
        <v>52</v>
      </c>
      <c r="AZ23" cm="1">
        <f t="array" ref="AZ23">VLOOKUP(TRUE, CHOOSE({1,2}, EXACT(R23, 'Letter Encoding'!$A:$A), 'Letter Encoding'!$C:$C), 2, FALSE)</f>
        <v>38</v>
      </c>
      <c r="BA23" cm="1">
        <f t="array" ref="BA23">VLOOKUP(TRUE, CHOOSE({1,2}, EXACT(S23, 'Letter Encoding'!$A:$A), 'Letter Encoding'!$C:$C), 2, FALSE)</f>
        <v>34</v>
      </c>
      <c r="BB23" cm="1">
        <f t="array" ref="BB23">VLOOKUP(TRUE, CHOOSE({1,2}, EXACT(T23, 'Letter Encoding'!$A:$A), 'Letter Encoding'!$C:$C), 2, FALSE)</f>
        <v>39</v>
      </c>
      <c r="BC23" cm="1">
        <f t="array" ref="BC23">VLOOKUP(TRUE, CHOOSE({1,2}, EXACT(U23, 'Letter Encoding'!$A:$A), 'Letter Encoding'!$C:$C), 2, FALSE)</f>
        <v>52</v>
      </c>
      <c r="BD23" cm="1">
        <f t="array" ref="BD23">VLOOKUP(TRUE, CHOOSE({1,2}, EXACT(V23, 'Letter Encoding'!$A:$A), 'Letter Encoding'!$C:$C), 2, FALSE)</f>
        <v>26</v>
      </c>
      <c r="BE23" cm="1">
        <f t="array" ref="BE23">VLOOKUP(TRUE, CHOOSE({1,2}, EXACT(W23, 'Letter Encoding'!$A:$A), 'Letter Encoding'!$C:$C), 2, FALSE)</f>
        <v>43</v>
      </c>
      <c r="BF23" cm="1">
        <f t="array" ref="BF23">VLOOKUP(TRUE, CHOOSE({1,2}, EXACT(X23, 'Letter Encoding'!$A:$A), 'Letter Encoding'!$C:$C), 2, FALSE)</f>
        <v>30</v>
      </c>
      <c r="BG23" cm="1">
        <f t="array" ref="BG23">VLOOKUP(TRUE, CHOOSE({1,2}, EXACT(Y23, 'Letter Encoding'!$A:$A), 'Letter Encoding'!$C:$C), 2, FALSE)</f>
        <v>26</v>
      </c>
      <c r="BH23" cm="1">
        <f t="array" ref="BH23">VLOOKUP(TRUE, CHOOSE({1,2}, EXACT(Z23, 'Letter Encoding'!$A:$A), 'Letter Encoding'!$C:$C), 2, FALSE)</f>
        <v>54</v>
      </c>
      <c r="BP23">
        <f t="shared" si="2"/>
        <v>26</v>
      </c>
      <c r="BS23">
        <v>2</v>
      </c>
      <c r="BT23" t="str">
        <f t="shared" si="0"/>
        <v>38, 26, 50, 52, 27, 30, 52, 39, 40, 34, 44, 30, 53, 52, 27, 50, 52, 38, 34, 39, 52, 26, 43, 30, 26, 54</v>
      </c>
    </row>
    <row r="24" spans="1:72" x14ac:dyDescent="0.3">
      <c r="A24" t="s">
        <v>59</v>
      </c>
      <c r="B24" t="s">
        <v>43</v>
      </c>
      <c r="C24" t="s">
        <v>44</v>
      </c>
      <c r="D24" t="s">
        <v>58</v>
      </c>
      <c r="E24" t="s">
        <v>56</v>
      </c>
      <c r="F24" t="s">
        <v>44</v>
      </c>
      <c r="G24" t="s">
        <v>35</v>
      </c>
      <c r="H24" t="s">
        <v>56</v>
      </c>
      <c r="I24" t="s">
        <v>45</v>
      </c>
      <c r="J24" t="s">
        <v>38</v>
      </c>
      <c r="K24" t="s">
        <v>53</v>
      </c>
      <c r="L24" t="s">
        <v>34</v>
      </c>
      <c r="M24" t="s">
        <v>41</v>
      </c>
      <c r="N24" t="s">
        <v>48</v>
      </c>
      <c r="O24" t="s">
        <v>56</v>
      </c>
      <c r="P24" t="s">
        <v>38</v>
      </c>
      <c r="Q24" t="s">
        <v>43</v>
      </c>
      <c r="R24" t="s">
        <v>56</v>
      </c>
      <c r="S24" t="s">
        <v>30</v>
      </c>
      <c r="T24" t="s">
        <v>56</v>
      </c>
      <c r="U24" t="s">
        <v>32</v>
      </c>
      <c r="V24" t="s">
        <v>44</v>
      </c>
      <c r="W24" t="s">
        <v>42</v>
      </c>
      <c r="X24" t="s">
        <v>45</v>
      </c>
      <c r="Y24" t="s">
        <v>44</v>
      </c>
      <c r="Z24" t="s">
        <v>43</v>
      </c>
      <c r="AA24" t="s">
        <v>34</v>
      </c>
      <c r="AB24" t="s">
        <v>43</v>
      </c>
      <c r="AC24" t="s">
        <v>49</v>
      </c>
      <c r="AD24" t="s">
        <v>60</v>
      </c>
      <c r="AH24">
        <f>COUNTA(A24:AG24)</f>
        <v>30</v>
      </c>
      <c r="AI24" cm="1">
        <f t="array" ref="AI24">VLOOKUP(TRUE, CHOOSE({1,2}, EXACT(A24, 'Letter Encoding'!$A:$A), 'Letter Encoding'!$C:$C), 2, FALSE)</f>
        <v>55</v>
      </c>
      <c r="AJ24" cm="1">
        <f t="array" ref="AJ24">VLOOKUP(TRUE, CHOOSE({1,2}, EXACT(B24, 'Letter Encoding'!$A:$A), 'Letter Encoding'!$C:$C), 2, FALSE)</f>
        <v>39</v>
      </c>
      <c r="AK24" cm="1">
        <f t="array" ref="AK24">VLOOKUP(TRUE, CHOOSE({1,2}, EXACT(C24, 'Letter Encoding'!$A:$A), 'Letter Encoding'!$C:$C), 2, FALSE)</f>
        <v>40</v>
      </c>
      <c r="AL24" cm="1">
        <f t="array" ref="AL24">VLOOKUP(TRUE, CHOOSE({1,2}, EXACT(D24, 'Letter Encoding'!$A:$A), 'Letter Encoding'!$C:$C), 2, FALSE)</f>
        <v>54</v>
      </c>
      <c r="AM24" cm="1">
        <f t="array" ref="AM24">VLOOKUP(TRUE, CHOOSE({1,2}, EXACT(E24, 'Letter Encoding'!$A:$A), 'Letter Encoding'!$C:$C), 2, FALSE)</f>
        <v>52</v>
      </c>
      <c r="AN24" cm="1">
        <f t="array" ref="AN24">VLOOKUP(TRUE, CHOOSE({1,2}, EXACT(F24, 'Letter Encoding'!$A:$A), 'Letter Encoding'!$C:$C), 2, FALSE)</f>
        <v>40</v>
      </c>
      <c r="AO24" cm="1">
        <f t="array" ref="AO24">VLOOKUP(TRUE, CHOOSE({1,2}, EXACT(G24, 'Letter Encoding'!$A:$A), 'Letter Encoding'!$C:$C), 2, FALSE)</f>
        <v>31</v>
      </c>
      <c r="AP24" cm="1">
        <f t="array" ref="AP24">VLOOKUP(TRUE, CHOOSE({1,2}, EXACT(H24, 'Letter Encoding'!$A:$A), 'Letter Encoding'!$C:$C), 2, FALSE)</f>
        <v>52</v>
      </c>
      <c r="AQ24" cm="1">
        <f t="array" ref="AQ24">VLOOKUP(TRUE, CHOOSE({1,2}, EXACT(I24, 'Letter Encoding'!$A:$A), 'Letter Encoding'!$C:$C), 2, FALSE)</f>
        <v>41</v>
      </c>
      <c r="AR24" cm="1">
        <f t="array" ref="AR24">VLOOKUP(TRUE, CHOOSE({1,2}, EXACT(J24, 'Letter Encoding'!$A:$A), 'Letter Encoding'!$C:$C), 2, FALSE)</f>
        <v>34</v>
      </c>
      <c r="AS24" cm="1">
        <f t="array" ref="AS24">VLOOKUP(TRUE, CHOOSE({1,2}, EXACT(K24, 'Letter Encoding'!$A:$A), 'Letter Encoding'!$C:$C), 2, FALSE)</f>
        <v>49</v>
      </c>
      <c r="AT24" cm="1">
        <f t="array" ref="AT24">VLOOKUP(TRUE, CHOOSE({1,2}, EXACT(L24, 'Letter Encoding'!$A:$A), 'Letter Encoding'!$C:$C), 2, FALSE)</f>
        <v>30</v>
      </c>
      <c r="AU24" cm="1">
        <f t="array" ref="AU24">VLOOKUP(TRUE, CHOOSE({1,2}, EXACT(M24, 'Letter Encoding'!$A:$A), 'Letter Encoding'!$C:$C), 2, FALSE)</f>
        <v>37</v>
      </c>
      <c r="AV24" cm="1">
        <f t="array" ref="AV24">VLOOKUP(TRUE, CHOOSE({1,2}, EXACT(N24, 'Letter Encoding'!$A:$A), 'Letter Encoding'!$C:$C), 2, FALSE)</f>
        <v>44</v>
      </c>
      <c r="AW24" cm="1">
        <f t="array" ref="AW24">VLOOKUP(TRUE, CHOOSE({1,2}, EXACT(O24, 'Letter Encoding'!$A:$A), 'Letter Encoding'!$C:$C), 2, FALSE)</f>
        <v>52</v>
      </c>
      <c r="AX24" cm="1">
        <f t="array" ref="AX24">VLOOKUP(TRUE, CHOOSE({1,2}, EXACT(P24, 'Letter Encoding'!$A:$A), 'Letter Encoding'!$C:$C), 2, FALSE)</f>
        <v>34</v>
      </c>
      <c r="AY24" cm="1">
        <f t="array" ref="AY24">VLOOKUP(TRUE, CHOOSE({1,2}, EXACT(Q24, 'Letter Encoding'!$A:$A), 'Letter Encoding'!$C:$C), 2, FALSE)</f>
        <v>39</v>
      </c>
      <c r="AZ24" cm="1">
        <f t="array" ref="AZ24">VLOOKUP(TRUE, CHOOSE({1,2}, EXACT(R24, 'Letter Encoding'!$A:$A), 'Letter Encoding'!$C:$C), 2, FALSE)</f>
        <v>52</v>
      </c>
      <c r="BA24" cm="1">
        <f t="array" ref="BA24">VLOOKUP(TRUE, CHOOSE({1,2}, EXACT(S24, 'Letter Encoding'!$A:$A), 'Letter Encoding'!$C:$C), 2, FALSE)</f>
        <v>26</v>
      </c>
      <c r="BB24" cm="1">
        <f t="array" ref="BB24">VLOOKUP(TRUE, CHOOSE({1,2}, EXACT(T24, 'Letter Encoding'!$A:$A), 'Letter Encoding'!$C:$C), 2, FALSE)</f>
        <v>52</v>
      </c>
      <c r="BC24" cm="1">
        <f t="array" ref="BC24">VLOOKUP(TRUE, CHOOSE({1,2}, EXACT(U24, 'Letter Encoding'!$A:$A), 'Letter Encoding'!$C:$C), 2, FALSE)</f>
        <v>28</v>
      </c>
      <c r="BD24" cm="1">
        <f t="array" ref="BD24">VLOOKUP(TRUE, CHOOSE({1,2}, EXACT(V24, 'Letter Encoding'!$A:$A), 'Letter Encoding'!$C:$C), 2, FALSE)</f>
        <v>40</v>
      </c>
      <c r="BE24" cm="1">
        <f t="array" ref="BE24">VLOOKUP(TRUE, CHOOSE({1,2}, EXACT(W24, 'Letter Encoding'!$A:$A), 'Letter Encoding'!$C:$C), 2, FALSE)</f>
        <v>38</v>
      </c>
      <c r="BF24" cm="1">
        <f t="array" ref="BF24">VLOOKUP(TRUE, CHOOSE({1,2}, EXACT(X24, 'Letter Encoding'!$A:$A), 'Letter Encoding'!$C:$C), 2, FALSE)</f>
        <v>41</v>
      </c>
      <c r="BG24" cm="1">
        <f t="array" ref="BG24">VLOOKUP(TRUE, CHOOSE({1,2}, EXACT(Y24, 'Letter Encoding'!$A:$A), 'Letter Encoding'!$C:$C), 2, FALSE)</f>
        <v>40</v>
      </c>
      <c r="BH24" cm="1">
        <f t="array" ref="BH24">VLOOKUP(TRUE, CHOOSE({1,2}, EXACT(Z24, 'Letter Encoding'!$A:$A), 'Letter Encoding'!$C:$C), 2, FALSE)</f>
        <v>39</v>
      </c>
      <c r="BI24" cm="1">
        <f t="array" ref="BI24">VLOOKUP(TRUE, CHOOSE({1,2}, EXACT(AA24, 'Letter Encoding'!$A:$A), 'Letter Encoding'!$C:$C), 2, FALSE)</f>
        <v>30</v>
      </c>
      <c r="BJ24" cm="1">
        <f t="array" ref="BJ24">VLOOKUP(TRUE, CHOOSE({1,2}, EXACT(AB24, 'Letter Encoding'!$A:$A), 'Letter Encoding'!$C:$C), 2, FALSE)</f>
        <v>39</v>
      </c>
      <c r="BK24" cm="1">
        <f t="array" ref="BK24">VLOOKUP(TRUE, CHOOSE({1,2}, EXACT(AC24, 'Letter Encoding'!$A:$A), 'Letter Encoding'!$C:$C), 2, FALSE)</f>
        <v>45</v>
      </c>
      <c r="BL24" cm="1">
        <f t="array" ref="BL24">VLOOKUP(TRUE, CHOOSE({1,2}, EXACT(AD24, 'Letter Encoding'!$A:$A), 'Letter Encoding'!$C:$C), 2, FALSE)</f>
        <v>56</v>
      </c>
      <c r="BP24">
        <f>COUNTA(AI24:BN24)</f>
        <v>30</v>
      </c>
      <c r="BS24">
        <v>3</v>
      </c>
      <c r="BT24" t="str">
        <f>_xlfn.TEXTJOIN(", ",TRUE,AI24:BO24)</f>
        <v>55, 39, 40, 54, 52, 40, 31, 52, 41, 34, 49, 30, 37, 44, 52, 34, 39, 52, 26, 52, 28, 40, 38, 41, 40, 39, 30, 39, 45, 56</v>
      </c>
    </row>
    <row r="25" spans="1:72" x14ac:dyDescent="0.3">
      <c r="A25" t="s">
        <v>34</v>
      </c>
      <c r="B25" t="s">
        <v>58</v>
      </c>
      <c r="C25" t="s">
        <v>36</v>
      </c>
      <c r="D25" t="s">
        <v>58</v>
      </c>
      <c r="E25" t="s">
        <v>57</v>
      </c>
      <c r="F25" t="s">
        <v>56</v>
      </c>
      <c r="G25">
        <v>4</v>
      </c>
      <c r="H25" t="s">
        <v>56</v>
      </c>
      <c r="I25" t="s">
        <v>42</v>
      </c>
      <c r="J25" t="s">
        <v>34</v>
      </c>
      <c r="K25" t="s">
        <v>30</v>
      </c>
      <c r="L25" t="s">
        <v>43</v>
      </c>
      <c r="M25" t="s">
        <v>48</v>
      </c>
      <c r="N25" t="s">
        <v>56</v>
      </c>
      <c r="O25" t="s">
        <v>32</v>
      </c>
      <c r="P25" t="s">
        <v>44</v>
      </c>
      <c r="Q25" t="s">
        <v>42</v>
      </c>
      <c r="R25" t="s">
        <v>45</v>
      </c>
      <c r="S25" t="s">
        <v>44</v>
      </c>
      <c r="T25" t="s">
        <v>43</v>
      </c>
      <c r="U25" t="s">
        <v>34</v>
      </c>
      <c r="V25" t="s">
        <v>43</v>
      </c>
      <c r="W25" t="s">
        <v>49</v>
      </c>
      <c r="X25" t="s">
        <v>48</v>
      </c>
      <c r="Y25" t="s">
        <v>56</v>
      </c>
      <c r="Z25" t="s">
        <v>52</v>
      </c>
      <c r="AA25" t="s">
        <v>38</v>
      </c>
      <c r="AB25" t="s">
        <v>49</v>
      </c>
      <c r="AC25" t="s">
        <v>37</v>
      </c>
      <c r="AH25">
        <f t="shared" si="1"/>
        <v>29</v>
      </c>
      <c r="AI25" cm="1">
        <f t="array" ref="AI25">VLOOKUP(TRUE, CHOOSE({1,2}, EXACT(A25, 'Letter Encoding'!$A:$A), 'Letter Encoding'!$C:$C), 2, FALSE)</f>
        <v>30</v>
      </c>
      <c r="AJ25" cm="1">
        <f t="array" ref="AJ25">VLOOKUP(TRUE, CHOOSE({1,2}, EXACT(B25, 'Letter Encoding'!$A:$A), 'Letter Encoding'!$C:$C), 2, FALSE)</f>
        <v>54</v>
      </c>
      <c r="AK25" cm="1">
        <f t="array" ref="AK25">VLOOKUP(TRUE, CHOOSE({1,2}, EXACT(C25, 'Letter Encoding'!$A:$A), 'Letter Encoding'!$C:$C), 2, FALSE)</f>
        <v>32</v>
      </c>
      <c r="AL25" cm="1">
        <f t="array" ref="AL25">VLOOKUP(TRUE, CHOOSE({1,2}, EXACT(D25, 'Letter Encoding'!$A:$A), 'Letter Encoding'!$C:$C), 2, FALSE)</f>
        <v>54</v>
      </c>
      <c r="AM25" cm="1">
        <f t="array" ref="AM25">VLOOKUP(TRUE, CHOOSE({1,2}, EXACT(E25, 'Letter Encoding'!$A:$A), 'Letter Encoding'!$C:$C), 2, FALSE)</f>
        <v>53</v>
      </c>
      <c r="AN25" cm="1">
        <f t="array" ref="AN25">VLOOKUP(TRUE, CHOOSE({1,2}, EXACT(F25, 'Letter Encoding'!$A:$A), 'Letter Encoding'!$C:$C), 2, FALSE)</f>
        <v>52</v>
      </c>
      <c r="AO25" cm="1">
        <f t="array" ref="AO25">VLOOKUP(TRUE, CHOOSE({1,2}, EXACT(G25, 'Letter Encoding'!$A:$A), 'Letter Encoding'!$C:$C), 2, FALSE)</f>
        <v>60</v>
      </c>
      <c r="AP25" cm="1">
        <f t="array" ref="AP25">VLOOKUP(TRUE, CHOOSE({1,2}, EXACT(H25, 'Letter Encoding'!$A:$A), 'Letter Encoding'!$C:$C), 2, FALSE)</f>
        <v>52</v>
      </c>
      <c r="AQ25" cm="1">
        <f t="array" ref="AQ25">VLOOKUP(TRUE, CHOOSE({1,2}, EXACT(I25, 'Letter Encoding'!$A:$A), 'Letter Encoding'!$C:$C), 2, FALSE)</f>
        <v>38</v>
      </c>
      <c r="AR25" cm="1">
        <f t="array" ref="AR25">VLOOKUP(TRUE, CHOOSE({1,2}, EXACT(J25, 'Letter Encoding'!$A:$A), 'Letter Encoding'!$C:$C), 2, FALSE)</f>
        <v>30</v>
      </c>
      <c r="AS25" cm="1">
        <f t="array" ref="AS25">VLOOKUP(TRUE, CHOOSE({1,2}, EXACT(K25, 'Letter Encoding'!$A:$A), 'Letter Encoding'!$C:$C), 2, FALSE)</f>
        <v>26</v>
      </c>
      <c r="AT25" cm="1">
        <f t="array" ref="AT25">VLOOKUP(TRUE, CHOOSE({1,2}, EXACT(L25, 'Letter Encoding'!$A:$A), 'Letter Encoding'!$C:$C), 2, FALSE)</f>
        <v>39</v>
      </c>
      <c r="AU25" cm="1">
        <f t="array" ref="AU25">VLOOKUP(TRUE, CHOOSE({1,2}, EXACT(M25, 'Letter Encoding'!$A:$A), 'Letter Encoding'!$C:$C), 2, FALSE)</f>
        <v>44</v>
      </c>
      <c r="AV25" cm="1">
        <f t="array" ref="AV25">VLOOKUP(TRUE, CHOOSE({1,2}, EXACT(N25, 'Letter Encoding'!$A:$A), 'Letter Encoding'!$C:$C), 2, FALSE)</f>
        <v>52</v>
      </c>
      <c r="AW25" cm="1">
        <f t="array" ref="AW25">VLOOKUP(TRUE, CHOOSE({1,2}, EXACT(O25, 'Letter Encoding'!$A:$A), 'Letter Encoding'!$C:$C), 2, FALSE)</f>
        <v>28</v>
      </c>
      <c r="AX25" cm="1">
        <f t="array" ref="AX25">VLOOKUP(TRUE, CHOOSE({1,2}, EXACT(P25, 'Letter Encoding'!$A:$A), 'Letter Encoding'!$C:$C), 2, FALSE)</f>
        <v>40</v>
      </c>
      <c r="AY25" cm="1">
        <f t="array" ref="AY25">VLOOKUP(TRUE, CHOOSE({1,2}, EXACT(Q25, 'Letter Encoding'!$A:$A), 'Letter Encoding'!$C:$C), 2, FALSE)</f>
        <v>38</v>
      </c>
      <c r="AZ25" cm="1">
        <f t="array" ref="AZ25">VLOOKUP(TRUE, CHOOSE({1,2}, EXACT(R25, 'Letter Encoding'!$A:$A), 'Letter Encoding'!$C:$C), 2, FALSE)</f>
        <v>41</v>
      </c>
      <c r="BA25" cm="1">
        <f t="array" ref="BA25">VLOOKUP(TRUE, CHOOSE({1,2}, EXACT(S25, 'Letter Encoding'!$A:$A), 'Letter Encoding'!$C:$C), 2, FALSE)</f>
        <v>40</v>
      </c>
      <c r="BB25" cm="1">
        <f t="array" ref="BB25">VLOOKUP(TRUE, CHOOSE({1,2}, EXACT(T25, 'Letter Encoding'!$A:$A), 'Letter Encoding'!$C:$C), 2, FALSE)</f>
        <v>39</v>
      </c>
      <c r="BC25" cm="1">
        <f t="array" ref="BC25">VLOOKUP(TRUE, CHOOSE({1,2}, EXACT(U25, 'Letter Encoding'!$A:$A), 'Letter Encoding'!$C:$C), 2, FALSE)</f>
        <v>30</v>
      </c>
      <c r="BD25" cm="1">
        <f t="array" ref="BD25">VLOOKUP(TRUE, CHOOSE({1,2}, EXACT(V25, 'Letter Encoding'!$A:$A), 'Letter Encoding'!$C:$C), 2, FALSE)</f>
        <v>39</v>
      </c>
      <c r="BE25" cm="1">
        <f t="array" ref="BE25">VLOOKUP(TRUE, CHOOSE({1,2}, EXACT(W25, 'Letter Encoding'!$A:$A), 'Letter Encoding'!$C:$C), 2, FALSE)</f>
        <v>45</v>
      </c>
      <c r="BF25" cm="1">
        <f t="array" ref="BF25">VLOOKUP(TRUE, CHOOSE({1,2}, EXACT(X25, 'Letter Encoding'!$A:$A), 'Letter Encoding'!$C:$C), 2, FALSE)</f>
        <v>44</v>
      </c>
      <c r="BG25" cm="1">
        <f t="array" ref="BG25">VLOOKUP(TRUE, CHOOSE({1,2}, EXACT(Y25, 'Letter Encoding'!$A:$A), 'Letter Encoding'!$C:$C), 2, FALSE)</f>
        <v>52</v>
      </c>
      <c r="BH25" cm="1">
        <f t="array" ref="BH25">VLOOKUP(TRUE, CHOOSE({1,2}, EXACT(Z25, 'Letter Encoding'!$A:$A), 'Letter Encoding'!$C:$C), 2, FALSE)</f>
        <v>48</v>
      </c>
      <c r="BI25" cm="1">
        <f t="array" ref="BI25">VLOOKUP(TRUE, CHOOSE({1,2}, EXACT(AA25, 'Letter Encoding'!$A:$A), 'Letter Encoding'!$C:$C), 2, FALSE)</f>
        <v>34</v>
      </c>
      <c r="BJ25" cm="1">
        <f t="array" ref="BJ25">VLOOKUP(TRUE, CHOOSE({1,2}, EXACT(AB25, 'Letter Encoding'!$A:$A), 'Letter Encoding'!$C:$C), 2, FALSE)</f>
        <v>45</v>
      </c>
      <c r="BK25" cm="1">
        <f t="array" ref="BK25">VLOOKUP(TRUE, CHOOSE({1,2}, EXACT(AC25, 'Letter Encoding'!$A:$A), 'Letter Encoding'!$C:$C), 2, FALSE)</f>
        <v>33</v>
      </c>
      <c r="BP25">
        <f t="shared" si="2"/>
        <v>29</v>
      </c>
      <c r="BR25">
        <v>2</v>
      </c>
      <c r="BS25">
        <v>4</v>
      </c>
      <c r="BT25" t="str">
        <f t="shared" si="0"/>
        <v>30, 54, 32, 54, 53, 52, 60, 52, 38, 30, 26, 39, 44, 52, 28, 40, 38, 41, 40, 39, 30, 39, 45, 44, 52, 48, 34, 45, 33</v>
      </c>
    </row>
    <row r="26" spans="1:72" x14ac:dyDescent="0.3">
      <c r="A26" t="s">
        <v>41</v>
      </c>
      <c r="B26" t="s">
        <v>34</v>
      </c>
      <c r="C26" t="s">
        <v>48</v>
      </c>
      <c r="D26" t="s">
        <v>48</v>
      </c>
      <c r="E26" t="s">
        <v>56</v>
      </c>
      <c r="F26" t="s">
        <v>49</v>
      </c>
      <c r="G26" t="s">
        <v>37</v>
      </c>
      <c r="H26" t="s">
        <v>30</v>
      </c>
      <c r="I26" t="s">
        <v>43</v>
      </c>
      <c r="J26" t="s">
        <v>56</v>
      </c>
      <c r="K26">
        <v>4</v>
      </c>
      <c r="L26" t="s">
        <v>56</v>
      </c>
      <c r="M26" t="s">
        <v>45</v>
      </c>
      <c r="N26" t="s">
        <v>38</v>
      </c>
      <c r="O26" t="s">
        <v>53</v>
      </c>
      <c r="P26" t="s">
        <v>34</v>
      </c>
      <c r="Q26" t="s">
        <v>41</v>
      </c>
      <c r="R26" t="s">
        <v>48</v>
      </c>
      <c r="S26" t="s">
        <v>56</v>
      </c>
      <c r="T26" t="s">
        <v>30</v>
      </c>
      <c r="U26" t="s">
        <v>47</v>
      </c>
      <c r="V26" t="s">
        <v>34</v>
      </c>
      <c r="AH26">
        <f t="shared" si="1"/>
        <v>22</v>
      </c>
      <c r="AI26" cm="1">
        <f t="array" ref="AI26">VLOOKUP(TRUE, CHOOSE({1,2}, EXACT(A26, 'Letter Encoding'!$A:$A), 'Letter Encoding'!$C:$C), 2, FALSE)</f>
        <v>37</v>
      </c>
      <c r="AJ26" cm="1">
        <f t="array" ref="AJ26">VLOOKUP(TRUE, CHOOSE({1,2}, EXACT(B26, 'Letter Encoding'!$A:$A), 'Letter Encoding'!$C:$C), 2, FALSE)</f>
        <v>30</v>
      </c>
      <c r="AK26" cm="1">
        <f t="array" ref="AK26">VLOOKUP(TRUE, CHOOSE({1,2}, EXACT(C26, 'Letter Encoding'!$A:$A), 'Letter Encoding'!$C:$C), 2, FALSE)</f>
        <v>44</v>
      </c>
      <c r="AL26" cm="1">
        <f t="array" ref="AL26">VLOOKUP(TRUE, CHOOSE({1,2}, EXACT(D26, 'Letter Encoding'!$A:$A), 'Letter Encoding'!$C:$C), 2, FALSE)</f>
        <v>44</v>
      </c>
      <c r="AM26" cm="1">
        <f t="array" ref="AM26">VLOOKUP(TRUE, CHOOSE({1,2}, EXACT(E26, 'Letter Encoding'!$A:$A), 'Letter Encoding'!$C:$C), 2, FALSE)</f>
        <v>52</v>
      </c>
      <c r="AN26" cm="1">
        <f t="array" ref="AN26">VLOOKUP(TRUE, CHOOSE({1,2}, EXACT(F26, 'Letter Encoding'!$A:$A), 'Letter Encoding'!$C:$C), 2, FALSE)</f>
        <v>45</v>
      </c>
      <c r="AO26" cm="1">
        <f t="array" ref="AO26">VLOOKUP(TRUE, CHOOSE({1,2}, EXACT(G26, 'Letter Encoding'!$A:$A), 'Letter Encoding'!$C:$C), 2, FALSE)</f>
        <v>33</v>
      </c>
      <c r="AP26" cm="1">
        <f t="array" ref="AP26">VLOOKUP(TRUE, CHOOSE({1,2}, EXACT(H26, 'Letter Encoding'!$A:$A), 'Letter Encoding'!$C:$C), 2, FALSE)</f>
        <v>26</v>
      </c>
      <c r="AQ26" cm="1">
        <f t="array" ref="AQ26">VLOOKUP(TRUE, CHOOSE({1,2}, EXACT(I26, 'Letter Encoding'!$A:$A), 'Letter Encoding'!$C:$C), 2, FALSE)</f>
        <v>39</v>
      </c>
      <c r="AR26" cm="1">
        <f t="array" ref="AR26">VLOOKUP(TRUE, CHOOSE({1,2}, EXACT(J26, 'Letter Encoding'!$A:$A), 'Letter Encoding'!$C:$C), 2, FALSE)</f>
        <v>52</v>
      </c>
      <c r="AS26" cm="1">
        <f t="array" ref="AS26">VLOOKUP(TRUE, CHOOSE({1,2}, EXACT(K26, 'Letter Encoding'!$A:$A), 'Letter Encoding'!$C:$C), 2, FALSE)</f>
        <v>60</v>
      </c>
      <c r="AT26" cm="1">
        <f t="array" ref="AT26">VLOOKUP(TRUE, CHOOSE({1,2}, EXACT(L26, 'Letter Encoding'!$A:$A), 'Letter Encoding'!$C:$C), 2, FALSE)</f>
        <v>52</v>
      </c>
      <c r="AU26" cm="1">
        <f t="array" ref="AU26">VLOOKUP(TRUE, CHOOSE({1,2}, EXACT(M26, 'Letter Encoding'!$A:$A), 'Letter Encoding'!$C:$C), 2, FALSE)</f>
        <v>41</v>
      </c>
      <c r="AV26" cm="1">
        <f t="array" ref="AV26">VLOOKUP(TRUE, CHOOSE({1,2}, EXACT(N26, 'Letter Encoding'!$A:$A), 'Letter Encoding'!$C:$C), 2, FALSE)</f>
        <v>34</v>
      </c>
      <c r="AW26" cm="1">
        <f t="array" ref="AW26">VLOOKUP(TRUE, CHOOSE({1,2}, EXACT(O26, 'Letter Encoding'!$A:$A), 'Letter Encoding'!$C:$C), 2, FALSE)</f>
        <v>49</v>
      </c>
      <c r="AX26" cm="1">
        <f t="array" ref="AX26">VLOOKUP(TRUE, CHOOSE({1,2}, EXACT(P26, 'Letter Encoding'!$A:$A), 'Letter Encoding'!$C:$C), 2, FALSE)</f>
        <v>30</v>
      </c>
      <c r="AY26" cm="1">
        <f t="array" ref="AY26">VLOOKUP(TRUE, CHOOSE({1,2}, EXACT(Q26, 'Letter Encoding'!$A:$A), 'Letter Encoding'!$C:$C), 2, FALSE)</f>
        <v>37</v>
      </c>
      <c r="AZ26" cm="1">
        <f t="array" ref="AZ26">VLOOKUP(TRUE, CHOOSE({1,2}, EXACT(R26, 'Letter Encoding'!$A:$A), 'Letter Encoding'!$C:$C), 2, FALSE)</f>
        <v>44</v>
      </c>
      <c r="BA26" cm="1">
        <f t="array" ref="BA26">VLOOKUP(TRUE, CHOOSE({1,2}, EXACT(S26, 'Letter Encoding'!$A:$A), 'Letter Encoding'!$C:$C), 2, FALSE)</f>
        <v>52</v>
      </c>
      <c r="BB26" cm="1">
        <f t="array" ref="BB26">VLOOKUP(TRUE, CHOOSE({1,2}, EXACT(T26, 'Letter Encoding'!$A:$A), 'Letter Encoding'!$C:$C), 2, FALSE)</f>
        <v>26</v>
      </c>
      <c r="BC26" cm="1">
        <f t="array" ref="BC26">VLOOKUP(TRUE, CHOOSE({1,2}, EXACT(U26, 'Letter Encoding'!$A:$A), 'Letter Encoding'!$C:$C), 2, FALSE)</f>
        <v>43</v>
      </c>
      <c r="BD26" cm="1">
        <f t="array" ref="BD26">VLOOKUP(TRUE, CHOOSE({1,2}, EXACT(V26, 'Letter Encoding'!$A:$A), 'Letter Encoding'!$C:$C), 2, FALSE)</f>
        <v>30</v>
      </c>
      <c r="BP26">
        <f t="shared" si="2"/>
        <v>22</v>
      </c>
      <c r="BS26">
        <v>5</v>
      </c>
      <c r="BT26" t="str">
        <f t="shared" si="0"/>
        <v>37, 30, 44, 44, 52, 45, 33, 26, 39, 52, 60, 52, 41, 34, 49, 30, 37, 44, 52, 26, 43, 30</v>
      </c>
    </row>
    <row r="27" spans="1:72" x14ac:dyDescent="0.3">
      <c r="A27" t="s">
        <v>38</v>
      </c>
      <c r="B27" t="s">
        <v>43</v>
      </c>
      <c r="C27" t="s">
        <v>51</v>
      </c>
      <c r="D27" t="s">
        <v>30</v>
      </c>
      <c r="E27" t="s">
        <v>41</v>
      </c>
      <c r="F27" t="s">
        <v>38</v>
      </c>
      <c r="G27" t="s">
        <v>33</v>
      </c>
      <c r="H27" t="s">
        <v>58</v>
      </c>
      <c r="AH27">
        <f t="shared" si="1"/>
        <v>8</v>
      </c>
      <c r="AI27" cm="1">
        <f t="array" ref="AI27">VLOOKUP(TRUE, CHOOSE({1,2}, EXACT(A27, 'Letter Encoding'!$A:$A), 'Letter Encoding'!$C:$C), 2, FALSE)</f>
        <v>34</v>
      </c>
      <c r="AJ27" cm="1">
        <f t="array" ref="AJ27">VLOOKUP(TRUE, CHOOSE({1,2}, EXACT(B27, 'Letter Encoding'!$A:$A), 'Letter Encoding'!$C:$C), 2, FALSE)</f>
        <v>39</v>
      </c>
      <c r="AK27" cm="1">
        <f t="array" ref="AK27">VLOOKUP(TRUE, CHOOSE({1,2}, EXACT(C27, 'Letter Encoding'!$A:$A), 'Letter Encoding'!$C:$C), 2, FALSE)</f>
        <v>47</v>
      </c>
      <c r="AL27" cm="1">
        <f t="array" ref="AL27">VLOOKUP(TRUE, CHOOSE({1,2}, EXACT(D27, 'Letter Encoding'!$A:$A), 'Letter Encoding'!$C:$C), 2, FALSE)</f>
        <v>26</v>
      </c>
      <c r="AM27" cm="1">
        <f t="array" ref="AM27">VLOOKUP(TRUE, CHOOSE({1,2}, EXACT(E27, 'Letter Encoding'!$A:$A), 'Letter Encoding'!$C:$C), 2, FALSE)</f>
        <v>37</v>
      </c>
      <c r="AN27" cm="1">
        <f t="array" ref="AN27">VLOOKUP(TRUE, CHOOSE({1,2}, EXACT(F27, 'Letter Encoding'!$A:$A), 'Letter Encoding'!$C:$C), 2, FALSE)</f>
        <v>34</v>
      </c>
      <c r="AO27" cm="1">
        <f t="array" ref="AO27">VLOOKUP(TRUE, CHOOSE({1,2}, EXACT(G27, 'Letter Encoding'!$A:$A), 'Letter Encoding'!$C:$C), 2, FALSE)</f>
        <v>29</v>
      </c>
      <c r="AP27" cm="1">
        <f t="array" ref="AP27">VLOOKUP(TRUE, CHOOSE({1,2}, EXACT(H27, 'Letter Encoding'!$A:$A), 'Letter Encoding'!$C:$C), 2, FALSE)</f>
        <v>54</v>
      </c>
      <c r="BP27">
        <f t="shared" si="2"/>
        <v>8</v>
      </c>
      <c r="BS27">
        <v>6</v>
      </c>
      <c r="BT27" t="str">
        <f t="shared" si="0"/>
        <v>34, 39, 47, 26, 37, 34, 29, 54</v>
      </c>
    </row>
    <row r="28" spans="1:72" x14ac:dyDescent="0.3">
      <c r="AH28">
        <f t="shared" si="1"/>
        <v>0</v>
      </c>
      <c r="BT28" t="str">
        <f t="shared" si="0"/>
        <v/>
      </c>
    </row>
    <row r="29" spans="1:72" x14ac:dyDescent="0.3">
      <c r="A29" t="s">
        <v>19</v>
      </c>
      <c r="B29" t="s">
        <v>38</v>
      </c>
      <c r="C29" t="s">
        <v>32</v>
      </c>
      <c r="D29" t="s">
        <v>40</v>
      </c>
      <c r="E29" t="s">
        <v>56</v>
      </c>
      <c r="F29" t="s">
        <v>50</v>
      </c>
      <c r="G29" t="s">
        <v>45</v>
      </c>
      <c r="H29" t="s">
        <v>56</v>
      </c>
      <c r="I29" t="s">
        <v>49</v>
      </c>
      <c r="J29" t="s">
        <v>44</v>
      </c>
      <c r="K29" t="s">
        <v>56</v>
      </c>
      <c r="AH29">
        <f t="shared" si="1"/>
        <v>11</v>
      </c>
      <c r="AI29" cm="1">
        <f t="array" ref="AI29">VLOOKUP(TRUE, CHOOSE({1,2}, EXACT(A29, 'Letter Encoding'!$A:$A), 'Letter Encoding'!$C:$C), 2, FALSE)</f>
        <v>15</v>
      </c>
      <c r="AJ29" cm="1">
        <f t="array" ref="AJ29">VLOOKUP(TRUE, CHOOSE({1,2}, EXACT(B29, 'Letter Encoding'!$A:$A), 'Letter Encoding'!$C:$C), 2, FALSE)</f>
        <v>34</v>
      </c>
      <c r="AK29" cm="1">
        <f t="array" ref="AK29">VLOOKUP(TRUE, CHOOSE({1,2}, EXACT(C29, 'Letter Encoding'!$A:$A), 'Letter Encoding'!$C:$C), 2, FALSE)</f>
        <v>28</v>
      </c>
      <c r="AL29" cm="1">
        <f t="array" ref="AL29">VLOOKUP(TRUE, CHOOSE({1,2}, EXACT(D29, 'Letter Encoding'!$A:$A), 'Letter Encoding'!$C:$C), 2, FALSE)</f>
        <v>36</v>
      </c>
      <c r="AM29" cm="1">
        <f t="array" ref="AM29">VLOOKUP(TRUE, CHOOSE({1,2}, EXACT(E29, 'Letter Encoding'!$A:$A), 'Letter Encoding'!$C:$C), 2, FALSE)</f>
        <v>52</v>
      </c>
      <c r="AN29" cm="1">
        <f t="array" ref="AN29">VLOOKUP(TRUE, CHOOSE({1,2}, EXACT(F29, 'Letter Encoding'!$A:$A), 'Letter Encoding'!$C:$C), 2, FALSE)</f>
        <v>46</v>
      </c>
      <c r="AO29" cm="1">
        <f t="array" ref="AO29">VLOOKUP(TRUE, CHOOSE({1,2}, EXACT(G29, 'Letter Encoding'!$A:$A), 'Letter Encoding'!$C:$C), 2, FALSE)</f>
        <v>41</v>
      </c>
      <c r="AP29" cm="1">
        <f t="array" ref="AP29">VLOOKUP(TRUE, CHOOSE({1,2}, EXACT(H29, 'Letter Encoding'!$A:$A), 'Letter Encoding'!$C:$C), 2, FALSE)</f>
        <v>52</v>
      </c>
      <c r="AQ29" cm="1">
        <f t="array" ref="AQ29">VLOOKUP(TRUE, CHOOSE({1,2}, EXACT(I29, 'Letter Encoding'!$A:$A), 'Letter Encoding'!$C:$C), 2, FALSE)</f>
        <v>45</v>
      </c>
      <c r="AR29" cm="1">
        <f t="array" ref="AR29">VLOOKUP(TRUE, CHOOSE({1,2}, EXACT(J29, 'Letter Encoding'!$A:$A), 'Letter Encoding'!$C:$C), 2, FALSE)</f>
        <v>40</v>
      </c>
      <c r="AS29" cm="1">
        <f t="array" ref="AS29">VLOOKUP(TRUE, CHOOSE({1,2}, EXACT(K29, 'Letter Encoding'!$A:$A), 'Letter Encoding'!$C:$C), 2, FALSE)</f>
        <v>52</v>
      </c>
      <c r="BP29">
        <f t="shared" si="2"/>
        <v>11</v>
      </c>
      <c r="BQ29" t="s">
        <v>65</v>
      </c>
      <c r="BR29">
        <v>1</v>
      </c>
      <c r="BS29">
        <v>1</v>
      </c>
      <c r="BT29" t="str">
        <f t="shared" si="0"/>
        <v>15, 34, 28, 36, 52, 46, 41, 52, 45, 40, 52</v>
      </c>
    </row>
    <row r="30" spans="1:72" x14ac:dyDescent="0.3">
      <c r="A30">
        <v>1</v>
      </c>
      <c r="B30" t="s">
        <v>56</v>
      </c>
      <c r="C30" t="s">
        <v>44</v>
      </c>
      <c r="D30" t="s">
        <v>47</v>
      </c>
      <c r="E30" t="s">
        <v>56</v>
      </c>
      <c r="F30">
        <v>2</v>
      </c>
      <c r="G30" t="s">
        <v>56</v>
      </c>
      <c r="H30" t="s">
        <v>44</v>
      </c>
      <c r="I30" t="s">
        <v>47</v>
      </c>
      <c r="J30" t="s">
        <v>56</v>
      </c>
      <c r="K30">
        <v>3</v>
      </c>
      <c r="L30" t="s">
        <v>56</v>
      </c>
      <c r="M30" t="s">
        <v>44</v>
      </c>
      <c r="N30" t="s">
        <v>47</v>
      </c>
      <c r="O30" t="s">
        <v>56</v>
      </c>
      <c r="P30">
        <v>4</v>
      </c>
      <c r="AH30">
        <f t="shared" si="1"/>
        <v>16</v>
      </c>
      <c r="AI30" cm="1">
        <f t="array" ref="AI30">VLOOKUP(TRUE, CHOOSE({1,2}, EXACT(A30, 'Letter Encoding'!$A:$A), 'Letter Encoding'!$C:$C), 2, FALSE)</f>
        <v>57</v>
      </c>
      <c r="AJ30" cm="1">
        <f t="array" ref="AJ30">VLOOKUP(TRUE, CHOOSE({1,2}, EXACT(B30, 'Letter Encoding'!$A:$A), 'Letter Encoding'!$C:$C), 2, FALSE)</f>
        <v>52</v>
      </c>
      <c r="AK30" cm="1">
        <f t="array" ref="AK30">VLOOKUP(TRUE, CHOOSE({1,2}, EXACT(C30, 'Letter Encoding'!$A:$A), 'Letter Encoding'!$C:$C), 2, FALSE)</f>
        <v>40</v>
      </c>
      <c r="AL30" cm="1">
        <f t="array" ref="AL30">VLOOKUP(TRUE, CHOOSE({1,2}, EXACT(D30, 'Letter Encoding'!$A:$A), 'Letter Encoding'!$C:$C), 2, FALSE)</f>
        <v>43</v>
      </c>
      <c r="AM30" cm="1">
        <f t="array" ref="AM30">VLOOKUP(TRUE, CHOOSE({1,2}, EXACT(E30, 'Letter Encoding'!$A:$A), 'Letter Encoding'!$C:$C), 2, FALSE)</f>
        <v>52</v>
      </c>
      <c r="AN30" cm="1">
        <f t="array" ref="AN30">VLOOKUP(TRUE, CHOOSE({1,2}, EXACT(F30, 'Letter Encoding'!$A:$A), 'Letter Encoding'!$C:$C), 2, FALSE)</f>
        <v>58</v>
      </c>
      <c r="AO30" cm="1">
        <f t="array" ref="AO30">VLOOKUP(TRUE, CHOOSE({1,2}, EXACT(G30, 'Letter Encoding'!$A:$A), 'Letter Encoding'!$C:$C), 2, FALSE)</f>
        <v>52</v>
      </c>
      <c r="AP30" cm="1">
        <f t="array" ref="AP30">VLOOKUP(TRUE, CHOOSE({1,2}, EXACT(H30, 'Letter Encoding'!$A:$A), 'Letter Encoding'!$C:$C), 2, FALSE)</f>
        <v>40</v>
      </c>
      <c r="AQ30" cm="1">
        <f t="array" ref="AQ30">VLOOKUP(TRUE, CHOOSE({1,2}, EXACT(I30, 'Letter Encoding'!$A:$A), 'Letter Encoding'!$C:$C), 2, FALSE)</f>
        <v>43</v>
      </c>
      <c r="AR30" cm="1">
        <f t="array" ref="AR30">VLOOKUP(TRUE, CHOOSE({1,2}, EXACT(J30, 'Letter Encoding'!$A:$A), 'Letter Encoding'!$C:$C), 2, FALSE)</f>
        <v>52</v>
      </c>
      <c r="AS30" cm="1">
        <f t="array" ref="AS30">VLOOKUP(TRUE, CHOOSE({1,2}, EXACT(K30, 'Letter Encoding'!$A:$A), 'Letter Encoding'!$C:$C), 2, FALSE)</f>
        <v>59</v>
      </c>
      <c r="AT30" cm="1">
        <f t="array" ref="AT30">VLOOKUP(TRUE, CHOOSE({1,2}, EXACT(L30, 'Letter Encoding'!$A:$A), 'Letter Encoding'!$C:$C), 2, FALSE)</f>
        <v>52</v>
      </c>
      <c r="AU30" cm="1">
        <f t="array" ref="AU30">VLOOKUP(TRUE, CHOOSE({1,2}, EXACT(M30, 'Letter Encoding'!$A:$A), 'Letter Encoding'!$C:$C), 2, FALSE)</f>
        <v>40</v>
      </c>
      <c r="AV30" cm="1">
        <f t="array" ref="AV30">VLOOKUP(TRUE, CHOOSE({1,2}, EXACT(N30, 'Letter Encoding'!$A:$A), 'Letter Encoding'!$C:$C), 2, FALSE)</f>
        <v>43</v>
      </c>
      <c r="AW30" cm="1">
        <f t="array" ref="AW30">VLOOKUP(TRUE, CHOOSE({1,2}, EXACT(O30, 'Letter Encoding'!$A:$A), 'Letter Encoding'!$C:$C), 2, FALSE)</f>
        <v>52</v>
      </c>
      <c r="AX30" cm="1">
        <f t="array" ref="AX30">VLOOKUP(TRUE, CHOOSE({1,2}, EXACT(P30, 'Letter Encoding'!$A:$A), 'Letter Encoding'!$C:$C), 2, FALSE)</f>
        <v>60</v>
      </c>
      <c r="BP30">
        <f t="shared" si="2"/>
        <v>16</v>
      </c>
      <c r="BS30">
        <v>2</v>
      </c>
      <c r="BT30" t="str">
        <f t="shared" si="0"/>
        <v>57, 52, 40, 43, 52, 58, 52, 40, 43, 52, 59, 52, 40, 43, 52, 60</v>
      </c>
    </row>
    <row r="31" spans="1:72" x14ac:dyDescent="0.3">
      <c r="A31" t="s">
        <v>51</v>
      </c>
      <c r="B31" t="s">
        <v>30</v>
      </c>
      <c r="C31" t="s">
        <v>41</v>
      </c>
      <c r="D31" t="s">
        <v>38</v>
      </c>
      <c r="E31" t="s">
        <v>33</v>
      </c>
      <c r="F31" t="s">
        <v>56</v>
      </c>
      <c r="G31" t="s">
        <v>32</v>
      </c>
      <c r="H31" t="s">
        <v>44</v>
      </c>
      <c r="I31" t="s">
        <v>42</v>
      </c>
      <c r="J31" t="s">
        <v>45</v>
      </c>
      <c r="K31" t="s">
        <v>44</v>
      </c>
      <c r="L31" t="s">
        <v>43</v>
      </c>
      <c r="M31" t="s">
        <v>34</v>
      </c>
      <c r="N31" t="s">
        <v>43</v>
      </c>
      <c r="O31" t="s">
        <v>49</v>
      </c>
      <c r="P31" t="s">
        <v>48</v>
      </c>
      <c r="Q31" t="s">
        <v>58</v>
      </c>
      <c r="AH31">
        <f t="shared" si="1"/>
        <v>17</v>
      </c>
      <c r="AI31" cm="1">
        <f t="array" ref="AI31">VLOOKUP(TRUE, CHOOSE({1,2}, EXACT(A31, 'Letter Encoding'!$A:$A), 'Letter Encoding'!$C:$C), 2, FALSE)</f>
        <v>47</v>
      </c>
      <c r="AJ31" cm="1">
        <f t="array" ref="AJ31">VLOOKUP(TRUE, CHOOSE({1,2}, EXACT(B31, 'Letter Encoding'!$A:$A), 'Letter Encoding'!$C:$C), 2, FALSE)</f>
        <v>26</v>
      </c>
      <c r="AK31" cm="1">
        <f t="array" ref="AK31">VLOOKUP(TRUE, CHOOSE({1,2}, EXACT(C31, 'Letter Encoding'!$A:$A), 'Letter Encoding'!$C:$C), 2, FALSE)</f>
        <v>37</v>
      </c>
      <c r="AL31" cm="1">
        <f t="array" ref="AL31">VLOOKUP(TRUE, CHOOSE({1,2}, EXACT(D31, 'Letter Encoding'!$A:$A), 'Letter Encoding'!$C:$C), 2, FALSE)</f>
        <v>34</v>
      </c>
      <c r="AM31" cm="1">
        <f t="array" ref="AM31">VLOOKUP(TRUE, CHOOSE({1,2}, EXACT(E31, 'Letter Encoding'!$A:$A), 'Letter Encoding'!$C:$C), 2, FALSE)</f>
        <v>29</v>
      </c>
      <c r="AN31" cm="1">
        <f t="array" ref="AN31">VLOOKUP(TRUE, CHOOSE({1,2}, EXACT(F31, 'Letter Encoding'!$A:$A), 'Letter Encoding'!$C:$C), 2, FALSE)</f>
        <v>52</v>
      </c>
      <c r="AO31" cm="1">
        <f t="array" ref="AO31">VLOOKUP(TRUE, CHOOSE({1,2}, EXACT(G31, 'Letter Encoding'!$A:$A), 'Letter Encoding'!$C:$C), 2, FALSE)</f>
        <v>28</v>
      </c>
      <c r="AP31" cm="1">
        <f t="array" ref="AP31">VLOOKUP(TRUE, CHOOSE({1,2}, EXACT(H31, 'Letter Encoding'!$A:$A), 'Letter Encoding'!$C:$C), 2, FALSE)</f>
        <v>40</v>
      </c>
      <c r="AQ31" cm="1">
        <f t="array" ref="AQ31">VLOOKUP(TRUE, CHOOSE({1,2}, EXACT(I31, 'Letter Encoding'!$A:$A), 'Letter Encoding'!$C:$C), 2, FALSE)</f>
        <v>38</v>
      </c>
      <c r="AR31" cm="1">
        <f t="array" ref="AR31">VLOOKUP(TRUE, CHOOSE({1,2}, EXACT(J31, 'Letter Encoding'!$A:$A), 'Letter Encoding'!$C:$C), 2, FALSE)</f>
        <v>41</v>
      </c>
      <c r="AS31" cm="1">
        <f t="array" ref="AS31">VLOOKUP(TRUE, CHOOSE({1,2}, EXACT(K31, 'Letter Encoding'!$A:$A), 'Letter Encoding'!$C:$C), 2, FALSE)</f>
        <v>40</v>
      </c>
      <c r="AT31" cm="1">
        <f t="array" ref="AT31">VLOOKUP(TRUE, CHOOSE({1,2}, EXACT(L31, 'Letter Encoding'!$A:$A), 'Letter Encoding'!$C:$C), 2, FALSE)</f>
        <v>39</v>
      </c>
      <c r="AU31" cm="1">
        <f t="array" ref="AU31">VLOOKUP(TRUE, CHOOSE({1,2}, EXACT(M31, 'Letter Encoding'!$A:$A), 'Letter Encoding'!$C:$C), 2, FALSE)</f>
        <v>30</v>
      </c>
      <c r="AV31" cm="1">
        <f t="array" ref="AV31">VLOOKUP(TRUE, CHOOSE({1,2}, EXACT(N31, 'Letter Encoding'!$A:$A), 'Letter Encoding'!$C:$C), 2, FALSE)</f>
        <v>39</v>
      </c>
      <c r="AW31" cm="1">
        <f t="array" ref="AW31">VLOOKUP(TRUE, CHOOSE({1,2}, EXACT(O31, 'Letter Encoding'!$A:$A), 'Letter Encoding'!$C:$C), 2, FALSE)</f>
        <v>45</v>
      </c>
      <c r="AX31" cm="1">
        <f t="array" ref="AX31">VLOOKUP(TRUE, CHOOSE({1,2}, EXACT(P31, 'Letter Encoding'!$A:$A), 'Letter Encoding'!$C:$C), 2, FALSE)</f>
        <v>44</v>
      </c>
      <c r="AY31" cm="1">
        <f t="array" ref="AY31">VLOOKUP(TRUE, CHOOSE({1,2}, EXACT(Q31, 'Letter Encoding'!$A:$A), 'Letter Encoding'!$C:$C), 2, FALSE)</f>
        <v>54</v>
      </c>
      <c r="BP31">
        <f t="shared" si="2"/>
        <v>17</v>
      </c>
      <c r="BS31">
        <v>3</v>
      </c>
      <c r="BT31" t="str">
        <f t="shared" si="0"/>
        <v>47, 26, 37, 34, 29, 52, 28, 40, 38, 41, 40, 39, 30, 39, 45, 44, 54</v>
      </c>
    </row>
    <row r="32" spans="1:72" x14ac:dyDescent="0.3">
      <c r="A32" t="s">
        <v>24</v>
      </c>
      <c r="B32" t="s">
        <v>48</v>
      </c>
      <c r="C32" t="s">
        <v>38</v>
      </c>
      <c r="D32" t="s">
        <v>43</v>
      </c>
      <c r="E32" t="s">
        <v>36</v>
      </c>
      <c r="F32" t="s">
        <v>56</v>
      </c>
      <c r="G32" t="s">
        <v>42</v>
      </c>
      <c r="H32" t="s">
        <v>38</v>
      </c>
      <c r="I32" t="s">
        <v>43</v>
      </c>
      <c r="J32" t="s">
        <v>57</v>
      </c>
      <c r="K32" t="s">
        <v>56</v>
      </c>
      <c r="L32" t="s">
        <v>42</v>
      </c>
      <c r="M32" t="s">
        <v>30</v>
      </c>
      <c r="N32" t="s">
        <v>53</v>
      </c>
      <c r="O32" t="s">
        <v>57</v>
      </c>
      <c r="P32" t="s">
        <v>56</v>
      </c>
      <c r="Q32" t="s">
        <v>32</v>
      </c>
      <c r="R32" t="s">
        <v>34</v>
      </c>
      <c r="S32" t="s">
        <v>43</v>
      </c>
      <c r="T32" t="s">
        <v>49</v>
      </c>
      <c r="U32" t="s">
        <v>47</v>
      </c>
      <c r="V32" t="s">
        <v>34</v>
      </c>
      <c r="AH32">
        <f t="shared" si="1"/>
        <v>22</v>
      </c>
      <c r="AI32" cm="1">
        <f t="array" ref="AI32">VLOOKUP(TRUE, CHOOSE({1,2}, EXACT(A32, 'Letter Encoding'!$A:$A), 'Letter Encoding'!$C:$C), 2, FALSE)</f>
        <v>20</v>
      </c>
      <c r="AJ32" cm="1">
        <f t="array" ref="AJ32">VLOOKUP(TRUE, CHOOSE({1,2}, EXACT(B32, 'Letter Encoding'!$A:$A), 'Letter Encoding'!$C:$C), 2, FALSE)</f>
        <v>44</v>
      </c>
      <c r="AK32" cm="1">
        <f t="array" ref="AK32">VLOOKUP(TRUE, CHOOSE({1,2}, EXACT(C32, 'Letter Encoding'!$A:$A), 'Letter Encoding'!$C:$C), 2, FALSE)</f>
        <v>34</v>
      </c>
      <c r="AL32" cm="1">
        <f t="array" ref="AL32">VLOOKUP(TRUE, CHOOSE({1,2}, EXACT(D32, 'Letter Encoding'!$A:$A), 'Letter Encoding'!$C:$C), 2, FALSE)</f>
        <v>39</v>
      </c>
      <c r="AM32" cm="1">
        <f t="array" ref="AM32">VLOOKUP(TRUE, CHOOSE({1,2}, EXACT(E32, 'Letter Encoding'!$A:$A), 'Letter Encoding'!$C:$C), 2, FALSE)</f>
        <v>32</v>
      </c>
      <c r="AN32" cm="1">
        <f t="array" ref="AN32">VLOOKUP(TRUE, CHOOSE({1,2}, EXACT(F32, 'Letter Encoding'!$A:$A), 'Letter Encoding'!$C:$C), 2, FALSE)</f>
        <v>52</v>
      </c>
      <c r="AO32" cm="1">
        <f t="array" ref="AO32">VLOOKUP(TRUE, CHOOSE({1,2}, EXACT(G32, 'Letter Encoding'!$A:$A), 'Letter Encoding'!$C:$C), 2, FALSE)</f>
        <v>38</v>
      </c>
      <c r="AP32" cm="1">
        <f t="array" ref="AP32">VLOOKUP(TRUE, CHOOSE({1,2}, EXACT(H32, 'Letter Encoding'!$A:$A), 'Letter Encoding'!$C:$C), 2, FALSE)</f>
        <v>34</v>
      </c>
      <c r="AQ32" cm="1">
        <f t="array" ref="AQ32">VLOOKUP(TRUE, CHOOSE({1,2}, EXACT(I32, 'Letter Encoding'!$A:$A), 'Letter Encoding'!$C:$C), 2, FALSE)</f>
        <v>39</v>
      </c>
      <c r="AR32" cm="1">
        <f t="array" ref="AR32">VLOOKUP(TRUE, CHOOSE({1,2}, EXACT(J32, 'Letter Encoding'!$A:$A), 'Letter Encoding'!$C:$C), 2, FALSE)</f>
        <v>53</v>
      </c>
      <c r="AS32" cm="1">
        <f t="array" ref="AS32">VLOOKUP(TRUE, CHOOSE({1,2}, EXACT(K32, 'Letter Encoding'!$A:$A), 'Letter Encoding'!$C:$C), 2, FALSE)</f>
        <v>52</v>
      </c>
      <c r="AT32" cm="1">
        <f t="array" ref="AT32">VLOOKUP(TRUE, CHOOSE({1,2}, EXACT(L32, 'Letter Encoding'!$A:$A), 'Letter Encoding'!$C:$C), 2, FALSE)</f>
        <v>38</v>
      </c>
      <c r="AU32" cm="1">
        <f t="array" ref="AU32">VLOOKUP(TRUE, CHOOSE({1,2}, EXACT(M32, 'Letter Encoding'!$A:$A), 'Letter Encoding'!$C:$C), 2, FALSE)</f>
        <v>26</v>
      </c>
      <c r="AV32" cm="1">
        <f t="array" ref="AV32">VLOOKUP(TRUE, CHOOSE({1,2}, EXACT(N32, 'Letter Encoding'!$A:$A), 'Letter Encoding'!$C:$C), 2, FALSE)</f>
        <v>49</v>
      </c>
      <c r="AW32" cm="1">
        <f t="array" ref="AW32">VLOOKUP(TRUE, CHOOSE({1,2}, EXACT(O32, 'Letter Encoding'!$A:$A), 'Letter Encoding'!$C:$C), 2, FALSE)</f>
        <v>53</v>
      </c>
      <c r="AX32" cm="1">
        <f t="array" ref="AX32">VLOOKUP(TRUE, CHOOSE({1,2}, EXACT(P32, 'Letter Encoding'!$A:$A), 'Letter Encoding'!$C:$C), 2, FALSE)</f>
        <v>52</v>
      </c>
      <c r="AY32" cm="1">
        <f t="array" ref="AY32">VLOOKUP(TRUE, CHOOSE({1,2}, EXACT(Q32, 'Letter Encoding'!$A:$A), 'Letter Encoding'!$C:$C), 2, FALSE)</f>
        <v>28</v>
      </c>
      <c r="AZ32" cm="1">
        <f t="array" ref="AZ32">VLOOKUP(TRUE, CHOOSE({1,2}, EXACT(R32, 'Letter Encoding'!$A:$A), 'Letter Encoding'!$C:$C), 2, FALSE)</f>
        <v>30</v>
      </c>
      <c r="BA32" cm="1">
        <f t="array" ref="BA32">VLOOKUP(TRUE, CHOOSE({1,2}, EXACT(S32, 'Letter Encoding'!$A:$A), 'Letter Encoding'!$C:$C), 2, FALSE)</f>
        <v>39</v>
      </c>
      <c r="BB32" cm="1">
        <f t="array" ref="BB32">VLOOKUP(TRUE, CHOOSE({1,2}, EXACT(T32, 'Letter Encoding'!$A:$A), 'Letter Encoding'!$C:$C), 2, FALSE)</f>
        <v>45</v>
      </c>
      <c r="BC32" cm="1">
        <f t="array" ref="BC32">VLOOKUP(TRUE, CHOOSE({1,2}, EXACT(U32, 'Letter Encoding'!$A:$A), 'Letter Encoding'!$C:$C), 2, FALSE)</f>
        <v>43</v>
      </c>
      <c r="BD32" cm="1">
        <f t="array" ref="BD32">VLOOKUP(TRUE, CHOOSE({1,2}, EXACT(V32, 'Letter Encoding'!$A:$A), 'Letter Encoding'!$C:$C), 2, FALSE)</f>
        <v>30</v>
      </c>
      <c r="BP32">
        <f t="shared" si="2"/>
        <v>22</v>
      </c>
      <c r="BR32">
        <v>2</v>
      </c>
      <c r="BS32">
        <v>4</v>
      </c>
      <c r="BT32" t="str">
        <f t="shared" si="0"/>
        <v>20, 44, 34, 39, 32, 52, 38, 34, 39, 53, 52, 38, 26, 49, 53, 52, 28, 30, 39, 45, 43, 30</v>
      </c>
    </row>
    <row r="33" spans="1:72" x14ac:dyDescent="0.3">
      <c r="A33" t="s">
        <v>44</v>
      </c>
      <c r="B33" t="s">
        <v>35</v>
      </c>
      <c r="C33" t="s">
        <v>56</v>
      </c>
      <c r="D33" t="s">
        <v>53</v>
      </c>
      <c r="E33" t="s">
        <v>57</v>
      </c>
      <c r="F33" t="s">
        <v>56</v>
      </c>
      <c r="G33" t="s">
        <v>54</v>
      </c>
      <c r="H33" t="s">
        <v>57</v>
      </c>
      <c r="I33" t="s">
        <v>56</v>
      </c>
      <c r="J33" t="s">
        <v>33</v>
      </c>
      <c r="K33" t="s">
        <v>47</v>
      </c>
      <c r="L33" t="s">
        <v>30</v>
      </c>
      <c r="M33" t="s">
        <v>52</v>
      </c>
      <c r="N33" t="s">
        <v>56</v>
      </c>
      <c r="O33" t="s">
        <v>49</v>
      </c>
      <c r="P33" t="s">
        <v>37</v>
      </c>
      <c r="Q33" t="s">
        <v>34</v>
      </c>
      <c r="R33" t="s">
        <v>38</v>
      </c>
      <c r="S33" t="s">
        <v>47</v>
      </c>
      <c r="AH33">
        <f t="shared" si="1"/>
        <v>19</v>
      </c>
      <c r="AI33" cm="1">
        <f t="array" ref="AI33">VLOOKUP(TRUE, CHOOSE({1,2}, EXACT(A33, 'Letter Encoding'!$A:$A), 'Letter Encoding'!$C:$C), 2, FALSE)</f>
        <v>40</v>
      </c>
      <c r="AJ33" cm="1">
        <f t="array" ref="AJ33">VLOOKUP(TRUE, CHOOSE({1,2}, EXACT(B33, 'Letter Encoding'!$A:$A), 'Letter Encoding'!$C:$C), 2, FALSE)</f>
        <v>31</v>
      </c>
      <c r="AK33" cm="1">
        <f t="array" ref="AK33">VLOOKUP(TRUE, CHOOSE({1,2}, EXACT(C33, 'Letter Encoding'!$A:$A), 'Letter Encoding'!$C:$C), 2, FALSE)</f>
        <v>52</v>
      </c>
      <c r="AL33" cm="1">
        <f t="array" ref="AL33">VLOOKUP(TRUE, CHOOSE({1,2}, EXACT(D33, 'Letter Encoding'!$A:$A), 'Letter Encoding'!$C:$C), 2, FALSE)</f>
        <v>49</v>
      </c>
      <c r="AM33" cm="1">
        <f t="array" ref="AM33">VLOOKUP(TRUE, CHOOSE({1,2}, EXACT(E33, 'Letter Encoding'!$A:$A), 'Letter Encoding'!$C:$C), 2, FALSE)</f>
        <v>53</v>
      </c>
      <c r="AN33" cm="1">
        <f t="array" ref="AN33">VLOOKUP(TRUE, CHOOSE({1,2}, EXACT(F33, 'Letter Encoding'!$A:$A), 'Letter Encoding'!$C:$C), 2, FALSE)</f>
        <v>52</v>
      </c>
      <c r="AO33" cm="1">
        <f t="array" ref="AO33">VLOOKUP(TRUE, CHOOSE({1,2}, EXACT(G33, 'Letter Encoding'!$A:$A), 'Letter Encoding'!$C:$C), 2, FALSE)</f>
        <v>50</v>
      </c>
      <c r="AP33" cm="1">
        <f t="array" ref="AP33">VLOOKUP(TRUE, CHOOSE({1,2}, EXACT(H33, 'Letter Encoding'!$A:$A), 'Letter Encoding'!$C:$C), 2, FALSE)</f>
        <v>53</v>
      </c>
      <c r="AQ33" cm="1">
        <f t="array" ref="AQ33">VLOOKUP(TRUE, CHOOSE({1,2}, EXACT(I33, 'Letter Encoding'!$A:$A), 'Letter Encoding'!$C:$C), 2, FALSE)</f>
        <v>52</v>
      </c>
      <c r="AR33" cm="1">
        <f t="array" ref="AR33">VLOOKUP(TRUE, CHOOSE({1,2}, EXACT(J33, 'Letter Encoding'!$A:$A), 'Letter Encoding'!$C:$C), 2, FALSE)</f>
        <v>29</v>
      </c>
      <c r="AS33" cm="1">
        <f t="array" ref="AS33">VLOOKUP(TRUE, CHOOSE({1,2}, EXACT(K33, 'Letter Encoding'!$A:$A), 'Letter Encoding'!$C:$C), 2, FALSE)</f>
        <v>43</v>
      </c>
      <c r="AT33" cm="1">
        <f t="array" ref="AT33">VLOOKUP(TRUE, CHOOSE({1,2}, EXACT(L33, 'Letter Encoding'!$A:$A), 'Letter Encoding'!$C:$C), 2, FALSE)</f>
        <v>26</v>
      </c>
      <c r="AU33" cm="1">
        <f t="array" ref="AU33">VLOOKUP(TRUE, CHOOSE({1,2}, EXACT(M33, 'Letter Encoding'!$A:$A), 'Letter Encoding'!$C:$C), 2, FALSE)</f>
        <v>48</v>
      </c>
      <c r="AV33" cm="1">
        <f t="array" ref="AV33">VLOOKUP(TRUE, CHOOSE({1,2}, EXACT(N33, 'Letter Encoding'!$A:$A), 'Letter Encoding'!$C:$C), 2, FALSE)</f>
        <v>52</v>
      </c>
      <c r="AW33" cm="1">
        <f t="array" ref="AW33">VLOOKUP(TRUE, CHOOSE({1,2}, EXACT(O33, 'Letter Encoding'!$A:$A), 'Letter Encoding'!$C:$C), 2, FALSE)</f>
        <v>45</v>
      </c>
      <c r="AX33" cm="1">
        <f t="array" ref="AX33">VLOOKUP(TRUE, CHOOSE({1,2}, EXACT(P33, 'Letter Encoding'!$A:$A), 'Letter Encoding'!$C:$C), 2, FALSE)</f>
        <v>33</v>
      </c>
      <c r="AY33" cm="1">
        <f t="array" ref="AY33">VLOOKUP(TRUE, CHOOSE({1,2}, EXACT(Q33, 'Letter Encoding'!$A:$A), 'Letter Encoding'!$C:$C), 2, FALSE)</f>
        <v>30</v>
      </c>
      <c r="AZ33" cm="1">
        <f t="array" ref="AZ33">VLOOKUP(TRUE, CHOOSE({1,2}, EXACT(R33, 'Letter Encoding'!$A:$A), 'Letter Encoding'!$C:$C), 2, FALSE)</f>
        <v>34</v>
      </c>
      <c r="BA33" cm="1">
        <f t="array" ref="BA33">VLOOKUP(TRUE, CHOOSE({1,2}, EXACT(S33, 'Letter Encoding'!$A:$A), 'Letter Encoding'!$C:$C), 2, FALSE)</f>
        <v>43</v>
      </c>
      <c r="BP33">
        <f t="shared" si="2"/>
        <v>19</v>
      </c>
      <c r="BS33">
        <v>5</v>
      </c>
      <c r="BT33" t="str">
        <f t="shared" si="0"/>
        <v>40, 31, 52, 49, 53, 52, 50, 53, 52, 29, 43, 26, 48, 52, 45, 33, 30, 34, 43</v>
      </c>
    </row>
    <row r="34" spans="1:72" x14ac:dyDescent="0.3">
      <c r="A34" t="s">
        <v>47</v>
      </c>
      <c r="B34" t="s">
        <v>34</v>
      </c>
      <c r="C34" t="s">
        <v>48</v>
      </c>
      <c r="D34" t="s">
        <v>45</v>
      </c>
      <c r="E34" t="s">
        <v>34</v>
      </c>
      <c r="F34" t="s">
        <v>32</v>
      </c>
      <c r="G34" t="s">
        <v>49</v>
      </c>
      <c r="H34" t="s">
        <v>38</v>
      </c>
      <c r="I34" t="s">
        <v>51</v>
      </c>
      <c r="J34" t="s">
        <v>34</v>
      </c>
      <c r="K34" t="s">
        <v>56</v>
      </c>
      <c r="L34" t="s">
        <v>31</v>
      </c>
      <c r="M34" t="s">
        <v>44</v>
      </c>
      <c r="N34" t="s">
        <v>53</v>
      </c>
      <c r="O34" t="s">
        <v>34</v>
      </c>
      <c r="P34" t="s">
        <v>48</v>
      </c>
      <c r="Q34" t="s">
        <v>58</v>
      </c>
      <c r="AH34">
        <f t="shared" si="1"/>
        <v>17</v>
      </c>
      <c r="AI34" cm="1">
        <f t="array" ref="AI34">VLOOKUP(TRUE, CHOOSE({1,2}, EXACT(A34, 'Letter Encoding'!$A:$A), 'Letter Encoding'!$C:$C), 2, FALSE)</f>
        <v>43</v>
      </c>
      <c r="AJ34" cm="1">
        <f t="array" ref="AJ34">VLOOKUP(TRUE, CHOOSE({1,2}, EXACT(B34, 'Letter Encoding'!$A:$A), 'Letter Encoding'!$C:$C), 2, FALSE)</f>
        <v>30</v>
      </c>
      <c r="AK34" cm="1">
        <f t="array" ref="AK34">VLOOKUP(TRUE, CHOOSE({1,2}, EXACT(C34, 'Letter Encoding'!$A:$A), 'Letter Encoding'!$C:$C), 2, FALSE)</f>
        <v>44</v>
      </c>
      <c r="AL34" cm="1">
        <f t="array" ref="AL34">VLOOKUP(TRUE, CHOOSE({1,2}, EXACT(D34, 'Letter Encoding'!$A:$A), 'Letter Encoding'!$C:$C), 2, FALSE)</f>
        <v>41</v>
      </c>
      <c r="AM34" cm="1">
        <f t="array" ref="AM34">VLOOKUP(TRUE, CHOOSE({1,2}, EXACT(E34, 'Letter Encoding'!$A:$A), 'Letter Encoding'!$C:$C), 2, FALSE)</f>
        <v>30</v>
      </c>
      <c r="AN34" cm="1">
        <f t="array" ref="AN34">VLOOKUP(TRUE, CHOOSE({1,2}, EXACT(F34, 'Letter Encoding'!$A:$A), 'Letter Encoding'!$C:$C), 2, FALSE)</f>
        <v>28</v>
      </c>
      <c r="AO34" cm="1">
        <f t="array" ref="AO34">VLOOKUP(TRUE, CHOOSE({1,2}, EXACT(G34, 'Letter Encoding'!$A:$A), 'Letter Encoding'!$C:$C), 2, FALSE)</f>
        <v>45</v>
      </c>
      <c r="AP34" cm="1">
        <f t="array" ref="AP34">VLOOKUP(TRUE, CHOOSE({1,2}, EXACT(H34, 'Letter Encoding'!$A:$A), 'Letter Encoding'!$C:$C), 2, FALSE)</f>
        <v>34</v>
      </c>
      <c r="AQ34" cm="1">
        <f t="array" ref="AQ34">VLOOKUP(TRUE, CHOOSE({1,2}, EXACT(I34, 'Letter Encoding'!$A:$A), 'Letter Encoding'!$C:$C), 2, FALSE)</f>
        <v>47</v>
      </c>
      <c r="AR34" cm="1">
        <f t="array" ref="AR34">VLOOKUP(TRUE, CHOOSE({1,2}, EXACT(J34, 'Letter Encoding'!$A:$A), 'Letter Encoding'!$C:$C), 2, FALSE)</f>
        <v>30</v>
      </c>
      <c r="AS34" cm="1">
        <f t="array" ref="AS34">VLOOKUP(TRUE, CHOOSE({1,2}, EXACT(K34, 'Letter Encoding'!$A:$A), 'Letter Encoding'!$C:$C), 2, FALSE)</f>
        <v>52</v>
      </c>
      <c r="AT34" cm="1">
        <f t="array" ref="AT34">VLOOKUP(TRUE, CHOOSE({1,2}, EXACT(L34, 'Letter Encoding'!$A:$A), 'Letter Encoding'!$C:$C), 2, FALSE)</f>
        <v>27</v>
      </c>
      <c r="AU34" cm="1">
        <f t="array" ref="AU34">VLOOKUP(TRUE, CHOOSE({1,2}, EXACT(M34, 'Letter Encoding'!$A:$A), 'Letter Encoding'!$C:$C), 2, FALSE)</f>
        <v>40</v>
      </c>
      <c r="AV34" cm="1">
        <f t="array" ref="AV34">VLOOKUP(TRUE, CHOOSE({1,2}, EXACT(N34, 'Letter Encoding'!$A:$A), 'Letter Encoding'!$C:$C), 2, FALSE)</f>
        <v>49</v>
      </c>
      <c r="AW34" cm="1">
        <f t="array" ref="AW34">VLOOKUP(TRUE, CHOOSE({1,2}, EXACT(O34, 'Letter Encoding'!$A:$A), 'Letter Encoding'!$C:$C), 2, FALSE)</f>
        <v>30</v>
      </c>
      <c r="AX34" cm="1">
        <f t="array" ref="AX34">VLOOKUP(TRUE, CHOOSE({1,2}, EXACT(P34, 'Letter Encoding'!$A:$A), 'Letter Encoding'!$C:$C), 2, FALSE)</f>
        <v>44</v>
      </c>
      <c r="AY34" cm="1">
        <f t="array" ref="AY34">VLOOKUP(TRUE, CHOOSE({1,2}, EXACT(Q34, 'Letter Encoding'!$A:$A), 'Letter Encoding'!$C:$C), 2, FALSE)</f>
        <v>54</v>
      </c>
      <c r="BP34">
        <f t="shared" si="2"/>
        <v>17</v>
      </c>
      <c r="BS34">
        <v>6</v>
      </c>
      <c r="BT34" t="str">
        <f t="shared" si="0"/>
        <v>43, 30, 44, 41, 30, 28, 45, 34, 47, 30, 52, 27, 40, 49, 30, 44, 54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Letter Encoding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Ku</dc:creator>
  <cp:lastModifiedBy>Joel Ku</cp:lastModifiedBy>
  <dcterms:created xsi:type="dcterms:W3CDTF">2025-11-08T11:37:32Z</dcterms:created>
  <dcterms:modified xsi:type="dcterms:W3CDTF">2025-11-09T15:56:03Z</dcterms:modified>
</cp:coreProperties>
</file>